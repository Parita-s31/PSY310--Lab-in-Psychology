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discounting\"/>
    </mc:Choice>
  </mc:AlternateContent>
  <xr:revisionPtr revIDLastSave="0" documentId="13_ncr:1_{562DE633-03E4-421C-9D02-228330D2BEC7}" xr6:coauthVersionLast="47" xr6:coauthVersionMax="47" xr10:uidLastSave="{00000000-0000-0000-0000-000000000000}"/>
  <bookViews>
    <workbookView xWindow="-108" yWindow="-108" windowWidth="23256" windowHeight="12456" activeTab="1" xr2:uid="{1F2EA394-5F2E-4B76-9CEC-21D9E6189276}"/>
  </bookViews>
  <sheets>
    <sheet name="1_discounting_2025-11-03_15h06.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H2" i="2" l="1"/>
  <c r="F97" i="2"/>
  <c r="F92" i="2"/>
  <c r="F86" i="2"/>
  <c r="F83" i="2"/>
  <c r="F73" i="2"/>
  <c r="F70" i="2"/>
  <c r="F68" i="2"/>
  <c r="F62" i="2"/>
  <c r="F58" i="2"/>
  <c r="F56" i="2"/>
  <c r="F52" i="2"/>
  <c r="F45" i="2"/>
  <c r="F40" i="2"/>
  <c r="F36" i="2"/>
  <c r="F32" i="2"/>
  <c r="F30" i="2"/>
  <c r="F27" i="2"/>
  <c r="F20" i="2"/>
  <c r="F17" i="2"/>
  <c r="F15" i="2"/>
  <c r="F11" i="2"/>
  <c r="F8" i="2"/>
  <c r="F6" i="2"/>
  <c r="F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" i="2"/>
</calcChain>
</file>

<file path=xl/sharedStrings.xml><?xml version="1.0" encoding="utf-8"?>
<sst xmlns="http://schemas.openxmlformats.org/spreadsheetml/2006/main" count="938" uniqueCount="41">
  <si>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</si>
  <si>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</si>
  <si>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</si>
  <si>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</si>
  <si>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</si>
  <si>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</si>
  <si>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</si>
  <si>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</si>
  <si>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</si>
  <si>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</si>
  <si>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</si>
  <si>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</si>
  <si>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</si>
  <si>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</si>
  <si>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</si>
  <si>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</si>
  <si>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</si>
  <si>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</si>
  <si>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</si>
  <si>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</si>
  <si>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</si>
  <si>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</si>
  <si>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</si>
  <si>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</si>
  <si>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</si>
  <si>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</si>
  <si>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</si>
  <si>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</si>
  <si>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</si>
  <si>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</si>
  <si>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</si>
  <si>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</si>
  <si>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</t>
  </si>
  <si>
    <t>None</t>
  </si>
  <si>
    <t>2025-11-03_15h06.47.071</t>
  </si>
  <si>
    <t>discounting</t>
  </si>
  <si>
    <t>2025.1.1</t>
  </si>
  <si>
    <t>2025-11-03 15h06.53.389472 +0530</t>
  </si>
  <si>
    <t>t</t>
  </si>
  <si>
    <t>k</t>
  </si>
  <si>
    <t>Mean of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</si>
</sst>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C41D-07DB-4B0F-BDB9-430F46A03CB4}">
  <dimension ref="A1:AF101"/>
  <sheetViews>
    <sheetView topLeftCell="A69" workbookViewId="0">
      <selection activeCell="G1" sqref="G1:G10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49</v>
      </c>
      <c r="B2">
        <v>60</v>
      </c>
      <c r="C2">
        <v>89</v>
      </c>
      <c r="D2">
        <v>0</v>
      </c>
      <c r="E2">
        <v>0</v>
      </c>
      <c r="F2">
        <v>0</v>
      </c>
      <c r="G2" t="s">
        <v>32</v>
      </c>
      <c r="H2">
        <v>4.6090253999864199</v>
      </c>
      <c r="I2" t="s">
        <v>33</v>
      </c>
      <c r="J2">
        <v>0</v>
      </c>
      <c r="K2">
        <v>0</v>
      </c>
      <c r="L2">
        <v>0</v>
      </c>
      <c r="M2">
        <v>4</v>
      </c>
      <c r="N2">
        <v>0.13168120000045699</v>
      </c>
      <c r="P2">
        <v>0.124540500022703</v>
      </c>
      <c r="Q2">
        <v>0.13168120000045699</v>
      </c>
      <c r="R2">
        <v>1.0127758000162399</v>
      </c>
      <c r="S2">
        <v>1.0127758000162399</v>
      </c>
      <c r="T2">
        <v>1.14590030000545</v>
      </c>
      <c r="U2">
        <v>5.6376805000181696</v>
      </c>
      <c r="V2" t="s">
        <v>32</v>
      </c>
      <c r="W2">
        <v>4.6090253999864199</v>
      </c>
      <c r="X2" t="s">
        <v>33</v>
      </c>
      <c r="Y2">
        <v>1</v>
      </c>
      <c r="Z2">
        <v>1</v>
      </c>
      <c r="AA2" t="s">
        <v>34</v>
      </c>
      <c r="AB2" t="s">
        <v>35</v>
      </c>
      <c r="AD2" t="s">
        <v>36</v>
      </c>
      <c r="AE2">
        <v>60.030855860749</v>
      </c>
      <c r="AF2" t="s">
        <v>37</v>
      </c>
    </row>
    <row r="3" spans="1:32" x14ac:dyDescent="0.3">
      <c r="A3">
        <v>78</v>
      </c>
      <c r="B3">
        <v>80</v>
      </c>
      <c r="C3">
        <v>162</v>
      </c>
      <c r="D3">
        <v>1</v>
      </c>
      <c r="E3">
        <v>1</v>
      </c>
      <c r="F3">
        <v>0</v>
      </c>
      <c r="G3" t="s">
        <v>38</v>
      </c>
      <c r="H3">
        <v>1.3594844999897699</v>
      </c>
      <c r="I3" t="s">
        <v>33</v>
      </c>
      <c r="J3">
        <v>0</v>
      </c>
      <c r="K3">
        <v>1</v>
      </c>
      <c r="L3">
        <v>1</v>
      </c>
      <c r="M3">
        <v>6</v>
      </c>
      <c r="N3">
        <v>5.6535571000131304</v>
      </c>
      <c r="P3">
        <v>5.6503822999948099</v>
      </c>
      <c r="Q3">
        <v>5.6535571000131304</v>
      </c>
      <c r="R3">
        <v>6.6457123000000102</v>
      </c>
      <c r="S3">
        <v>6.6457123000000102</v>
      </c>
      <c r="T3">
        <v>6.6629383999970697</v>
      </c>
      <c r="U3">
        <v>8.0130419000051898</v>
      </c>
      <c r="V3" t="s">
        <v>38</v>
      </c>
      <c r="W3">
        <v>1.3594844999897699</v>
      </c>
      <c r="X3" t="s">
        <v>33</v>
      </c>
      <c r="Y3">
        <v>1</v>
      </c>
      <c r="Z3">
        <v>1</v>
      </c>
      <c r="AA3" t="s">
        <v>34</v>
      </c>
      <c r="AB3" t="s">
        <v>35</v>
      </c>
      <c r="AD3" t="s">
        <v>36</v>
      </c>
      <c r="AE3">
        <v>60.030855860749</v>
      </c>
      <c r="AF3" t="s">
        <v>37</v>
      </c>
    </row>
    <row r="4" spans="1:32" x14ac:dyDescent="0.3">
      <c r="A4">
        <v>15</v>
      </c>
      <c r="B4">
        <v>35</v>
      </c>
      <c r="C4">
        <v>13</v>
      </c>
      <c r="D4">
        <v>2</v>
      </c>
      <c r="E4">
        <v>2</v>
      </c>
      <c r="F4">
        <v>0</v>
      </c>
      <c r="G4" t="s">
        <v>32</v>
      </c>
      <c r="H4">
        <v>0.59102910000365205</v>
      </c>
      <c r="I4" t="s">
        <v>33</v>
      </c>
      <c r="J4">
        <v>0</v>
      </c>
      <c r="K4">
        <v>2</v>
      </c>
      <c r="L4">
        <v>2</v>
      </c>
      <c r="M4">
        <v>1</v>
      </c>
      <c r="N4">
        <v>8.0288473000109608</v>
      </c>
      <c r="P4">
        <v>8.0223027000029106</v>
      </c>
      <c r="Q4">
        <v>8.0288473000109608</v>
      </c>
      <c r="R4">
        <v>9.0292950000148195</v>
      </c>
      <c r="S4">
        <v>9.0292950000148195</v>
      </c>
      <c r="T4">
        <v>9.0292950000148195</v>
      </c>
      <c r="U4">
        <v>9.62989209999796</v>
      </c>
      <c r="V4" t="s">
        <v>32</v>
      </c>
      <c r="W4">
        <v>0.59102910000365205</v>
      </c>
      <c r="X4" t="s">
        <v>33</v>
      </c>
      <c r="Y4">
        <v>1</v>
      </c>
      <c r="Z4">
        <v>1</v>
      </c>
      <c r="AA4" t="s">
        <v>34</v>
      </c>
      <c r="AB4" t="s">
        <v>35</v>
      </c>
      <c r="AD4" t="s">
        <v>36</v>
      </c>
      <c r="AE4">
        <v>60.030855860749</v>
      </c>
      <c r="AF4" t="s">
        <v>37</v>
      </c>
    </row>
    <row r="5" spans="1:32" x14ac:dyDescent="0.3">
      <c r="A5">
        <v>11</v>
      </c>
      <c r="B5">
        <v>30</v>
      </c>
      <c r="C5">
        <v>7</v>
      </c>
      <c r="D5">
        <v>3</v>
      </c>
      <c r="E5">
        <v>3</v>
      </c>
      <c r="F5">
        <v>0</v>
      </c>
      <c r="G5" t="s">
        <v>32</v>
      </c>
      <c r="H5">
        <v>1.9379460000200099</v>
      </c>
      <c r="I5" t="s">
        <v>33</v>
      </c>
      <c r="J5">
        <v>0</v>
      </c>
      <c r="K5">
        <v>3</v>
      </c>
      <c r="L5">
        <v>3</v>
      </c>
      <c r="M5">
        <v>0</v>
      </c>
      <c r="N5">
        <v>9.6457526000158396</v>
      </c>
      <c r="P5">
        <v>9.6366858000110298</v>
      </c>
      <c r="Q5">
        <v>9.6457526000158396</v>
      </c>
      <c r="R5">
        <v>10.6291828000103</v>
      </c>
      <c r="S5">
        <v>10.6291828000103</v>
      </c>
      <c r="T5">
        <v>10.6458378999959</v>
      </c>
      <c r="U5">
        <v>12.579914700007</v>
      </c>
      <c r="V5" t="s">
        <v>32</v>
      </c>
      <c r="W5">
        <v>1.9379460000200099</v>
      </c>
      <c r="X5" t="s">
        <v>33</v>
      </c>
      <c r="Y5">
        <v>1</v>
      </c>
      <c r="Z5">
        <v>1</v>
      </c>
      <c r="AA5" t="s">
        <v>34</v>
      </c>
      <c r="AB5" t="s">
        <v>35</v>
      </c>
      <c r="AD5" t="s">
        <v>36</v>
      </c>
      <c r="AE5">
        <v>60.030855860749</v>
      </c>
      <c r="AF5" t="s">
        <v>37</v>
      </c>
    </row>
    <row r="6" spans="1:32" x14ac:dyDescent="0.3">
      <c r="A6">
        <v>40</v>
      </c>
      <c r="B6">
        <v>55</v>
      </c>
      <c r="C6">
        <v>62</v>
      </c>
      <c r="D6">
        <v>4</v>
      </c>
      <c r="E6">
        <v>4</v>
      </c>
      <c r="F6">
        <v>0</v>
      </c>
      <c r="G6" t="s">
        <v>38</v>
      </c>
      <c r="H6">
        <v>3.2264652000158001</v>
      </c>
      <c r="I6" t="s">
        <v>33</v>
      </c>
      <c r="J6">
        <v>0</v>
      </c>
      <c r="K6">
        <v>4</v>
      </c>
      <c r="L6">
        <v>4</v>
      </c>
      <c r="M6">
        <v>3</v>
      </c>
      <c r="N6">
        <v>12.595808300014999</v>
      </c>
      <c r="P6">
        <v>12.5867417000117</v>
      </c>
      <c r="Q6">
        <v>12.595808300014999</v>
      </c>
      <c r="R6">
        <v>13.5793114000116</v>
      </c>
      <c r="S6">
        <v>13.5793114000116</v>
      </c>
      <c r="T6">
        <v>13.595706000021799</v>
      </c>
      <c r="U6">
        <v>16.8132120000082</v>
      </c>
      <c r="V6" t="s">
        <v>38</v>
      </c>
      <c r="W6">
        <v>3.2264652000158001</v>
      </c>
      <c r="X6" t="s">
        <v>33</v>
      </c>
      <c r="Y6">
        <v>1</v>
      </c>
      <c r="Z6">
        <v>1</v>
      </c>
      <c r="AA6" t="s">
        <v>34</v>
      </c>
      <c r="AB6" t="s">
        <v>35</v>
      </c>
      <c r="AD6" t="s">
        <v>36</v>
      </c>
      <c r="AE6">
        <v>60.030855860749</v>
      </c>
      <c r="AF6" t="s">
        <v>37</v>
      </c>
    </row>
    <row r="7" spans="1:32" x14ac:dyDescent="0.3">
      <c r="A7">
        <v>27</v>
      </c>
      <c r="B7">
        <v>50</v>
      </c>
      <c r="C7">
        <v>21</v>
      </c>
      <c r="D7">
        <v>5</v>
      </c>
      <c r="E7">
        <v>5</v>
      </c>
      <c r="F7">
        <v>0</v>
      </c>
      <c r="G7" t="s">
        <v>32</v>
      </c>
      <c r="H7">
        <v>1.04935730001307</v>
      </c>
      <c r="I7" t="s">
        <v>33</v>
      </c>
      <c r="J7">
        <v>0</v>
      </c>
      <c r="K7">
        <v>5</v>
      </c>
      <c r="L7">
        <v>5</v>
      </c>
      <c r="M7">
        <v>2</v>
      </c>
      <c r="N7">
        <v>16.829148500022701</v>
      </c>
      <c r="P7">
        <v>16.820272800017801</v>
      </c>
      <c r="Q7">
        <v>16.829148500022701</v>
      </c>
      <c r="R7">
        <v>17.8289405000105</v>
      </c>
      <c r="S7">
        <v>17.8289405000105</v>
      </c>
      <c r="T7">
        <v>17.8289405000105</v>
      </c>
      <c r="U7">
        <v>18.8797808000235</v>
      </c>
      <c r="V7" t="s">
        <v>32</v>
      </c>
      <c r="W7">
        <v>1.04935730001307</v>
      </c>
      <c r="X7" t="s">
        <v>33</v>
      </c>
      <c r="Y7">
        <v>1</v>
      </c>
      <c r="Z7">
        <v>1</v>
      </c>
      <c r="AA7" t="s">
        <v>34</v>
      </c>
      <c r="AB7" t="s">
        <v>35</v>
      </c>
      <c r="AD7" t="s">
        <v>36</v>
      </c>
      <c r="AE7">
        <v>60.030855860749</v>
      </c>
      <c r="AF7" t="s">
        <v>37</v>
      </c>
    </row>
    <row r="8" spans="1:32" x14ac:dyDescent="0.3">
      <c r="A8">
        <v>67</v>
      </c>
      <c r="B8">
        <v>75</v>
      </c>
      <c r="C8">
        <v>119</v>
      </c>
      <c r="D8">
        <v>6</v>
      </c>
      <c r="E8">
        <v>6</v>
      </c>
      <c r="F8">
        <v>0</v>
      </c>
      <c r="G8" t="s">
        <v>38</v>
      </c>
      <c r="H8">
        <v>1.88256070000352</v>
      </c>
      <c r="I8" t="s">
        <v>33</v>
      </c>
      <c r="J8">
        <v>0</v>
      </c>
      <c r="K8">
        <v>6</v>
      </c>
      <c r="L8">
        <v>6</v>
      </c>
      <c r="M8">
        <v>5</v>
      </c>
      <c r="N8">
        <v>18.895864999998501</v>
      </c>
      <c r="P8">
        <v>18.8860397000098</v>
      </c>
      <c r="Q8">
        <v>18.895864999998501</v>
      </c>
      <c r="R8">
        <v>19.879198600014199</v>
      </c>
      <c r="S8">
        <v>19.879198600014199</v>
      </c>
      <c r="T8">
        <v>19.8958629000117</v>
      </c>
      <c r="U8">
        <v>21.7633623000001</v>
      </c>
      <c r="V8" t="s">
        <v>38</v>
      </c>
      <c r="W8">
        <v>1.88256070000352</v>
      </c>
      <c r="X8" t="s">
        <v>33</v>
      </c>
      <c r="Y8">
        <v>1</v>
      </c>
      <c r="Z8">
        <v>1</v>
      </c>
      <c r="AA8" t="s">
        <v>34</v>
      </c>
      <c r="AB8" t="s">
        <v>35</v>
      </c>
      <c r="AD8" t="s">
        <v>36</v>
      </c>
      <c r="AE8">
        <v>60.030855860749</v>
      </c>
      <c r="AF8" t="s">
        <v>37</v>
      </c>
    </row>
    <row r="9" spans="1:32" x14ac:dyDescent="0.3">
      <c r="A9">
        <v>15</v>
      </c>
      <c r="B9">
        <v>35</v>
      </c>
      <c r="C9">
        <v>13</v>
      </c>
      <c r="D9">
        <v>7</v>
      </c>
      <c r="E9">
        <v>0</v>
      </c>
      <c r="F9">
        <v>1</v>
      </c>
      <c r="G9" t="s">
        <v>32</v>
      </c>
      <c r="H9">
        <v>5.04675130001851</v>
      </c>
      <c r="I9" t="s">
        <v>33</v>
      </c>
      <c r="J9">
        <v>1</v>
      </c>
      <c r="K9">
        <v>0</v>
      </c>
      <c r="L9">
        <v>7</v>
      </c>
      <c r="M9">
        <v>1</v>
      </c>
      <c r="N9">
        <v>21.7792418000171</v>
      </c>
      <c r="P9">
        <v>21.770633700012599</v>
      </c>
      <c r="Q9">
        <v>21.7792418000171</v>
      </c>
      <c r="R9">
        <v>22.7792010999983</v>
      </c>
      <c r="S9">
        <v>22.7792010999983</v>
      </c>
      <c r="T9">
        <v>22.7792010999983</v>
      </c>
      <c r="U9">
        <v>27.829761200002299</v>
      </c>
      <c r="V9" t="s">
        <v>32</v>
      </c>
      <c r="W9">
        <v>5.04675130001851</v>
      </c>
      <c r="X9" t="s">
        <v>33</v>
      </c>
      <c r="Y9">
        <v>1</v>
      </c>
      <c r="Z9">
        <v>1</v>
      </c>
      <c r="AA9" t="s">
        <v>34</v>
      </c>
      <c r="AB9" t="s">
        <v>35</v>
      </c>
      <c r="AD9" t="s">
        <v>36</v>
      </c>
      <c r="AE9">
        <v>60.030855860749</v>
      </c>
      <c r="AF9" t="s">
        <v>37</v>
      </c>
    </row>
    <row r="10" spans="1:32" x14ac:dyDescent="0.3">
      <c r="A10">
        <v>49</v>
      </c>
      <c r="B10">
        <v>60</v>
      </c>
      <c r="C10">
        <v>89</v>
      </c>
      <c r="D10">
        <v>8</v>
      </c>
      <c r="E10">
        <v>1</v>
      </c>
      <c r="F10">
        <v>1</v>
      </c>
      <c r="G10" t="s">
        <v>32</v>
      </c>
      <c r="H10">
        <v>2.8690769000095302</v>
      </c>
      <c r="I10" t="s">
        <v>33</v>
      </c>
      <c r="J10">
        <v>1</v>
      </c>
      <c r="K10">
        <v>1</v>
      </c>
      <c r="L10">
        <v>8</v>
      </c>
      <c r="M10">
        <v>4</v>
      </c>
      <c r="N10">
        <v>27.845946200017298</v>
      </c>
      <c r="P10">
        <v>27.836170299997299</v>
      </c>
      <c r="Q10">
        <v>27.845946200017298</v>
      </c>
      <c r="R10">
        <v>28.829135800013301</v>
      </c>
      <c r="S10">
        <v>28.829135800013301</v>
      </c>
      <c r="T10">
        <v>28.845823700015899</v>
      </c>
      <c r="U10">
        <v>31.713145600020599</v>
      </c>
      <c r="V10" t="s">
        <v>32</v>
      </c>
      <c r="W10">
        <v>2.8690769000095302</v>
      </c>
      <c r="X10" t="s">
        <v>33</v>
      </c>
      <c r="Y10">
        <v>1</v>
      </c>
      <c r="Z10">
        <v>1</v>
      </c>
      <c r="AA10" t="s">
        <v>34</v>
      </c>
      <c r="AB10" t="s">
        <v>35</v>
      </c>
      <c r="AD10" t="s">
        <v>36</v>
      </c>
      <c r="AE10">
        <v>60.030855860749</v>
      </c>
      <c r="AF10" t="s">
        <v>37</v>
      </c>
    </row>
    <row r="11" spans="1:32" x14ac:dyDescent="0.3">
      <c r="A11">
        <v>78</v>
      </c>
      <c r="B11">
        <v>80</v>
      </c>
      <c r="C11">
        <v>162</v>
      </c>
      <c r="D11">
        <v>9</v>
      </c>
      <c r="E11">
        <v>2</v>
      </c>
      <c r="F11">
        <v>1</v>
      </c>
      <c r="G11" t="s">
        <v>38</v>
      </c>
      <c r="H11">
        <v>0.74084270000457697</v>
      </c>
      <c r="I11" t="s">
        <v>33</v>
      </c>
      <c r="J11">
        <v>1</v>
      </c>
      <c r="K11">
        <v>2</v>
      </c>
      <c r="L11">
        <v>9</v>
      </c>
      <c r="M11">
        <v>6</v>
      </c>
      <c r="N11">
        <v>31.729380900011101</v>
      </c>
      <c r="P11">
        <v>31.7199690999987</v>
      </c>
      <c r="Q11">
        <v>31.729380900011101</v>
      </c>
      <c r="R11">
        <v>32.712504199996999</v>
      </c>
      <c r="S11">
        <v>32.712504199996999</v>
      </c>
      <c r="T11">
        <v>32.729145100020098</v>
      </c>
      <c r="U11">
        <v>33.463408800016602</v>
      </c>
      <c r="V11" t="s">
        <v>38</v>
      </c>
      <c r="W11">
        <v>0.74084270000457697</v>
      </c>
      <c r="X11" t="s">
        <v>33</v>
      </c>
      <c r="Y11">
        <v>1</v>
      </c>
      <c r="Z11">
        <v>1</v>
      </c>
      <c r="AA11" t="s">
        <v>34</v>
      </c>
      <c r="AB11" t="s">
        <v>35</v>
      </c>
      <c r="AD11" t="s">
        <v>36</v>
      </c>
      <c r="AE11">
        <v>60.030855860749</v>
      </c>
      <c r="AF11" t="s">
        <v>37</v>
      </c>
    </row>
    <row r="12" spans="1:32" x14ac:dyDescent="0.3">
      <c r="A12">
        <v>11</v>
      </c>
      <c r="B12">
        <v>30</v>
      </c>
      <c r="C12">
        <v>7</v>
      </c>
      <c r="D12">
        <v>10</v>
      </c>
      <c r="E12">
        <v>3</v>
      </c>
      <c r="F12">
        <v>1</v>
      </c>
      <c r="G12" t="s">
        <v>32</v>
      </c>
      <c r="H12">
        <v>1.87362180001218</v>
      </c>
      <c r="I12" t="s">
        <v>33</v>
      </c>
      <c r="J12">
        <v>1</v>
      </c>
      <c r="K12">
        <v>3</v>
      </c>
      <c r="L12">
        <v>10</v>
      </c>
      <c r="M12">
        <v>0</v>
      </c>
      <c r="N12">
        <v>33.479188900004303</v>
      </c>
      <c r="P12">
        <v>33.470381000021</v>
      </c>
      <c r="Q12">
        <v>33.479188900004303</v>
      </c>
      <c r="R12">
        <v>34.479415200010401</v>
      </c>
      <c r="S12">
        <v>34.479415200010401</v>
      </c>
      <c r="T12">
        <v>34.479415200010401</v>
      </c>
      <c r="U12">
        <v>36.363158499996601</v>
      </c>
      <c r="V12" t="s">
        <v>32</v>
      </c>
      <c r="W12">
        <v>1.87362180001218</v>
      </c>
      <c r="X12" t="s">
        <v>33</v>
      </c>
      <c r="Y12">
        <v>1</v>
      </c>
      <c r="Z12">
        <v>1</v>
      </c>
      <c r="AA12" t="s">
        <v>34</v>
      </c>
      <c r="AB12" t="s">
        <v>35</v>
      </c>
      <c r="AD12" t="s">
        <v>36</v>
      </c>
      <c r="AE12">
        <v>60.030855860749</v>
      </c>
      <c r="AF12" t="s">
        <v>37</v>
      </c>
    </row>
    <row r="13" spans="1:32" x14ac:dyDescent="0.3">
      <c r="A13">
        <v>27</v>
      </c>
      <c r="B13">
        <v>50</v>
      </c>
      <c r="C13">
        <v>21</v>
      </c>
      <c r="D13">
        <v>11</v>
      </c>
      <c r="E13">
        <v>4</v>
      </c>
      <c r="F13">
        <v>1</v>
      </c>
      <c r="G13" t="s">
        <v>32</v>
      </c>
      <c r="H13">
        <v>4.9885510999883902</v>
      </c>
      <c r="I13" t="s">
        <v>33</v>
      </c>
      <c r="J13">
        <v>1</v>
      </c>
      <c r="K13">
        <v>4</v>
      </c>
      <c r="L13">
        <v>11</v>
      </c>
      <c r="M13">
        <v>2</v>
      </c>
      <c r="N13">
        <v>36.379017700004603</v>
      </c>
      <c r="P13">
        <v>36.370290799997697</v>
      </c>
      <c r="Q13">
        <v>36.379017700004603</v>
      </c>
      <c r="R13">
        <v>37.363046200014601</v>
      </c>
      <c r="S13">
        <v>37.363046200014601</v>
      </c>
      <c r="T13">
        <v>37.379305200010997</v>
      </c>
      <c r="U13">
        <v>42.363265000021698</v>
      </c>
      <c r="V13" t="s">
        <v>32</v>
      </c>
      <c r="W13">
        <v>4.9885510999883902</v>
      </c>
      <c r="X13" t="s">
        <v>33</v>
      </c>
      <c r="Y13">
        <v>1</v>
      </c>
      <c r="Z13">
        <v>1</v>
      </c>
      <c r="AA13" t="s">
        <v>34</v>
      </c>
      <c r="AB13" t="s">
        <v>35</v>
      </c>
      <c r="AD13" t="s">
        <v>36</v>
      </c>
      <c r="AE13">
        <v>60.030855860749</v>
      </c>
      <c r="AF13" t="s">
        <v>37</v>
      </c>
    </row>
    <row r="14" spans="1:32" x14ac:dyDescent="0.3">
      <c r="A14">
        <v>67</v>
      </c>
      <c r="B14">
        <v>75</v>
      </c>
      <c r="C14">
        <v>119</v>
      </c>
      <c r="D14">
        <v>12</v>
      </c>
      <c r="E14">
        <v>5</v>
      </c>
      <c r="F14">
        <v>1</v>
      </c>
      <c r="G14" t="s">
        <v>38</v>
      </c>
      <c r="H14">
        <v>0.717766899993876</v>
      </c>
      <c r="I14" t="s">
        <v>33</v>
      </c>
      <c r="J14">
        <v>1</v>
      </c>
      <c r="K14">
        <v>5</v>
      </c>
      <c r="L14">
        <v>12</v>
      </c>
      <c r="M14">
        <v>5</v>
      </c>
      <c r="N14">
        <v>42.379150599997899</v>
      </c>
      <c r="P14">
        <v>42.369845700013599</v>
      </c>
      <c r="Q14">
        <v>42.379150599997899</v>
      </c>
      <c r="R14">
        <v>43.379369100002798</v>
      </c>
      <c r="S14">
        <v>43.379369100002798</v>
      </c>
      <c r="T14">
        <v>43.379369100002798</v>
      </c>
      <c r="U14">
        <v>44.113243300001997</v>
      </c>
      <c r="V14" t="s">
        <v>38</v>
      </c>
      <c r="W14">
        <v>0.717766899993876</v>
      </c>
      <c r="X14" t="s">
        <v>33</v>
      </c>
      <c r="Y14">
        <v>1</v>
      </c>
      <c r="Z14">
        <v>1</v>
      </c>
      <c r="AA14" t="s">
        <v>34</v>
      </c>
      <c r="AB14" t="s">
        <v>35</v>
      </c>
      <c r="AD14" t="s">
        <v>36</v>
      </c>
      <c r="AE14">
        <v>60.030855860749</v>
      </c>
      <c r="AF14" t="s">
        <v>37</v>
      </c>
    </row>
    <row r="15" spans="1:32" x14ac:dyDescent="0.3">
      <c r="A15">
        <v>40</v>
      </c>
      <c r="B15">
        <v>55</v>
      </c>
      <c r="C15">
        <v>62</v>
      </c>
      <c r="D15">
        <v>13</v>
      </c>
      <c r="E15">
        <v>6</v>
      </c>
      <c r="F15">
        <v>1</v>
      </c>
      <c r="G15" t="s">
        <v>38</v>
      </c>
      <c r="H15">
        <v>0.47401490001357099</v>
      </c>
      <c r="I15" t="s">
        <v>33</v>
      </c>
      <c r="J15">
        <v>1</v>
      </c>
      <c r="K15">
        <v>6</v>
      </c>
      <c r="L15">
        <v>13</v>
      </c>
      <c r="M15">
        <v>3</v>
      </c>
      <c r="N15">
        <v>44.129070399998398</v>
      </c>
      <c r="P15">
        <v>44.120580899994799</v>
      </c>
      <c r="Q15">
        <v>44.129070399998398</v>
      </c>
      <c r="R15">
        <v>45.112573499995001</v>
      </c>
      <c r="S15">
        <v>45.112573499995001</v>
      </c>
      <c r="T15">
        <v>45.129347600013702</v>
      </c>
      <c r="U15">
        <v>45.5965178000042</v>
      </c>
      <c r="V15" t="s">
        <v>38</v>
      </c>
      <c r="W15">
        <v>0.47401490001357099</v>
      </c>
      <c r="X15" t="s">
        <v>33</v>
      </c>
      <c r="Y15">
        <v>1</v>
      </c>
      <c r="Z15">
        <v>1</v>
      </c>
      <c r="AA15" t="s">
        <v>34</v>
      </c>
      <c r="AB15" t="s">
        <v>35</v>
      </c>
      <c r="AD15" t="s">
        <v>36</v>
      </c>
      <c r="AE15">
        <v>60.030855860749</v>
      </c>
      <c r="AF15" t="s">
        <v>37</v>
      </c>
    </row>
    <row r="16" spans="1:32" x14ac:dyDescent="0.3">
      <c r="A16">
        <v>11</v>
      </c>
      <c r="B16">
        <v>30</v>
      </c>
      <c r="C16">
        <v>7</v>
      </c>
      <c r="D16">
        <v>14</v>
      </c>
      <c r="E16">
        <v>0</v>
      </c>
      <c r="F16">
        <v>2</v>
      </c>
      <c r="G16" t="s">
        <v>32</v>
      </c>
      <c r="H16">
        <v>1.4443563999957401</v>
      </c>
      <c r="I16" t="s">
        <v>33</v>
      </c>
      <c r="J16">
        <v>2</v>
      </c>
      <c r="K16">
        <v>0</v>
      </c>
      <c r="L16">
        <v>14</v>
      </c>
      <c r="M16">
        <v>0</v>
      </c>
      <c r="N16">
        <v>45.612532800005198</v>
      </c>
      <c r="P16">
        <v>45.602738100016701</v>
      </c>
      <c r="Q16">
        <v>45.612532800005198</v>
      </c>
      <c r="R16">
        <v>46.596103200019499</v>
      </c>
      <c r="S16">
        <v>46.596103200019499</v>
      </c>
      <c r="T16">
        <v>46.6123428000137</v>
      </c>
      <c r="U16">
        <v>48.0464071000169</v>
      </c>
      <c r="V16" t="s">
        <v>32</v>
      </c>
      <c r="W16">
        <v>1.4443563999957401</v>
      </c>
      <c r="X16" t="s">
        <v>33</v>
      </c>
      <c r="Y16">
        <v>1</v>
      </c>
      <c r="Z16">
        <v>1</v>
      </c>
      <c r="AA16" t="s">
        <v>34</v>
      </c>
      <c r="AB16" t="s">
        <v>35</v>
      </c>
      <c r="AD16" t="s">
        <v>36</v>
      </c>
      <c r="AE16">
        <v>60.030855860749</v>
      </c>
      <c r="AF16" t="s">
        <v>37</v>
      </c>
    </row>
    <row r="17" spans="1:32" x14ac:dyDescent="0.3">
      <c r="A17">
        <v>78</v>
      </c>
      <c r="B17">
        <v>80</v>
      </c>
      <c r="C17">
        <v>162</v>
      </c>
      <c r="D17">
        <v>15</v>
      </c>
      <c r="E17">
        <v>1</v>
      </c>
      <c r="F17">
        <v>2</v>
      </c>
      <c r="G17" t="s">
        <v>38</v>
      </c>
      <c r="H17">
        <v>0.63240719999885098</v>
      </c>
      <c r="I17" t="s">
        <v>33</v>
      </c>
      <c r="J17">
        <v>2</v>
      </c>
      <c r="K17">
        <v>1</v>
      </c>
      <c r="L17">
        <v>15</v>
      </c>
      <c r="M17">
        <v>6</v>
      </c>
      <c r="N17">
        <v>48.0624264000216</v>
      </c>
      <c r="P17">
        <v>48.053671400004497</v>
      </c>
      <c r="Q17">
        <v>48.0624264000216</v>
      </c>
      <c r="R17">
        <v>49.0458839000202</v>
      </c>
      <c r="S17">
        <v>49.0458839000202</v>
      </c>
      <c r="T17">
        <v>49.062613400019401</v>
      </c>
      <c r="U17">
        <v>49.679792700015199</v>
      </c>
      <c r="V17" t="s">
        <v>38</v>
      </c>
      <c r="W17">
        <v>0.63240719999885098</v>
      </c>
      <c r="X17" t="s">
        <v>33</v>
      </c>
      <c r="Y17">
        <v>1</v>
      </c>
      <c r="Z17">
        <v>1</v>
      </c>
      <c r="AA17" t="s">
        <v>34</v>
      </c>
      <c r="AB17" t="s">
        <v>35</v>
      </c>
      <c r="AD17" t="s">
        <v>36</v>
      </c>
      <c r="AE17">
        <v>60.030855860749</v>
      </c>
      <c r="AF17" t="s">
        <v>37</v>
      </c>
    </row>
    <row r="18" spans="1:32" x14ac:dyDescent="0.3">
      <c r="A18">
        <v>27</v>
      </c>
      <c r="B18">
        <v>50</v>
      </c>
      <c r="C18">
        <v>21</v>
      </c>
      <c r="D18">
        <v>16</v>
      </c>
      <c r="E18">
        <v>2</v>
      </c>
      <c r="F18">
        <v>2</v>
      </c>
      <c r="G18" t="s">
        <v>32</v>
      </c>
      <c r="H18">
        <v>1.06566469999961</v>
      </c>
      <c r="I18" t="s">
        <v>33</v>
      </c>
      <c r="J18">
        <v>2</v>
      </c>
      <c r="K18">
        <v>2</v>
      </c>
      <c r="L18">
        <v>16</v>
      </c>
      <c r="M18">
        <v>2</v>
      </c>
      <c r="N18">
        <v>49.695634900010099</v>
      </c>
      <c r="P18">
        <v>49.6865466000163</v>
      </c>
      <c r="Q18">
        <v>49.695634900010099</v>
      </c>
      <c r="R18">
        <v>50.679477500001603</v>
      </c>
      <c r="S18">
        <v>50.679477500001603</v>
      </c>
      <c r="T18">
        <v>50.696092500002102</v>
      </c>
      <c r="U18">
        <v>51.746667800005497</v>
      </c>
      <c r="V18" t="s">
        <v>32</v>
      </c>
      <c r="W18">
        <v>1.06566469999961</v>
      </c>
      <c r="X18" t="s">
        <v>33</v>
      </c>
      <c r="Y18">
        <v>1</v>
      </c>
      <c r="Z18">
        <v>1</v>
      </c>
      <c r="AA18" t="s">
        <v>34</v>
      </c>
      <c r="AB18" t="s">
        <v>35</v>
      </c>
      <c r="AD18" t="s">
        <v>36</v>
      </c>
      <c r="AE18">
        <v>60.030855860749</v>
      </c>
      <c r="AF18" t="s">
        <v>37</v>
      </c>
    </row>
    <row r="19" spans="1:32" x14ac:dyDescent="0.3">
      <c r="A19">
        <v>67</v>
      </c>
      <c r="B19">
        <v>75</v>
      </c>
      <c r="C19">
        <v>119</v>
      </c>
      <c r="D19">
        <v>17</v>
      </c>
      <c r="E19">
        <v>3</v>
      </c>
      <c r="F19">
        <v>2</v>
      </c>
      <c r="G19" t="s">
        <v>38</v>
      </c>
      <c r="H19">
        <v>0.94468310000956901</v>
      </c>
      <c r="I19" t="s">
        <v>33</v>
      </c>
      <c r="J19">
        <v>2</v>
      </c>
      <c r="K19">
        <v>3</v>
      </c>
      <c r="L19">
        <v>17</v>
      </c>
      <c r="M19">
        <v>5</v>
      </c>
      <c r="N19">
        <v>51.762363999994697</v>
      </c>
      <c r="P19">
        <v>51.754038400016697</v>
      </c>
      <c r="Q19">
        <v>51.762363999994697</v>
      </c>
      <c r="R19">
        <v>52.762585300020802</v>
      </c>
      <c r="S19">
        <v>52.762585300020802</v>
      </c>
      <c r="T19">
        <v>52.762585300020802</v>
      </c>
      <c r="U19">
        <v>53.713221400015698</v>
      </c>
      <c r="V19" t="s">
        <v>38</v>
      </c>
      <c r="W19">
        <v>0.94468310000956901</v>
      </c>
      <c r="X19" t="s">
        <v>33</v>
      </c>
      <c r="Y19">
        <v>1</v>
      </c>
      <c r="Z19">
        <v>1</v>
      </c>
      <c r="AA19" t="s">
        <v>34</v>
      </c>
      <c r="AB19" t="s">
        <v>35</v>
      </c>
      <c r="AD19" t="s">
        <v>36</v>
      </c>
      <c r="AE19">
        <v>60.030855860749</v>
      </c>
      <c r="AF19" t="s">
        <v>37</v>
      </c>
    </row>
    <row r="20" spans="1:32" x14ac:dyDescent="0.3">
      <c r="A20">
        <v>40</v>
      </c>
      <c r="B20">
        <v>55</v>
      </c>
      <c r="C20">
        <v>62</v>
      </c>
      <c r="D20">
        <v>18</v>
      </c>
      <c r="E20">
        <v>4</v>
      </c>
      <c r="F20">
        <v>2</v>
      </c>
      <c r="G20" t="s">
        <v>38</v>
      </c>
      <c r="H20">
        <v>0.67872080000233803</v>
      </c>
      <c r="I20" t="s">
        <v>33</v>
      </c>
      <c r="J20">
        <v>2</v>
      </c>
      <c r="K20">
        <v>4</v>
      </c>
      <c r="L20">
        <v>18</v>
      </c>
      <c r="M20">
        <v>3</v>
      </c>
      <c r="N20">
        <v>53.729153299995197</v>
      </c>
      <c r="P20">
        <v>53.720459200005202</v>
      </c>
      <c r="Q20">
        <v>53.729153299995197</v>
      </c>
      <c r="R20">
        <v>54.7123228000127</v>
      </c>
      <c r="S20">
        <v>54.7123228000127</v>
      </c>
      <c r="T20">
        <v>54.729260599997303</v>
      </c>
      <c r="U20">
        <v>55.396289600001097</v>
      </c>
      <c r="V20" t="s">
        <v>38</v>
      </c>
      <c r="W20">
        <v>0.67872080000233803</v>
      </c>
      <c r="X20" t="s">
        <v>33</v>
      </c>
      <c r="Y20">
        <v>1</v>
      </c>
      <c r="Z20">
        <v>1</v>
      </c>
      <c r="AA20" t="s">
        <v>34</v>
      </c>
      <c r="AB20" t="s">
        <v>35</v>
      </c>
      <c r="AD20" t="s">
        <v>36</v>
      </c>
      <c r="AE20">
        <v>60.030855860749</v>
      </c>
      <c r="AF20" t="s">
        <v>37</v>
      </c>
    </row>
    <row r="21" spans="1:32" x14ac:dyDescent="0.3">
      <c r="A21">
        <v>15</v>
      </c>
      <c r="B21">
        <v>35</v>
      </c>
      <c r="C21">
        <v>13</v>
      </c>
      <c r="D21">
        <v>19</v>
      </c>
      <c r="E21">
        <v>5</v>
      </c>
      <c r="F21">
        <v>2</v>
      </c>
      <c r="G21" t="s">
        <v>32</v>
      </c>
      <c r="H21">
        <v>4.69042549998266</v>
      </c>
      <c r="I21" t="s">
        <v>33</v>
      </c>
      <c r="J21">
        <v>2</v>
      </c>
      <c r="K21">
        <v>5</v>
      </c>
      <c r="L21">
        <v>19</v>
      </c>
      <c r="M21">
        <v>1</v>
      </c>
      <c r="N21">
        <v>55.490363799995897</v>
      </c>
      <c r="P21">
        <v>55.488043899997102</v>
      </c>
      <c r="Q21">
        <v>55.490363799995897</v>
      </c>
      <c r="R21">
        <v>56.3957741000049</v>
      </c>
      <c r="S21">
        <v>56.3957741000049</v>
      </c>
      <c r="T21">
        <v>56.495683700020798</v>
      </c>
      <c r="U21">
        <v>61.096578500000703</v>
      </c>
      <c r="V21" t="s">
        <v>32</v>
      </c>
      <c r="W21">
        <v>4.69042549998266</v>
      </c>
      <c r="X21" t="s">
        <v>33</v>
      </c>
      <c r="Y21">
        <v>1</v>
      </c>
      <c r="Z21">
        <v>1</v>
      </c>
      <c r="AA21" t="s">
        <v>34</v>
      </c>
      <c r="AB21" t="s">
        <v>35</v>
      </c>
      <c r="AD21" t="s">
        <v>36</v>
      </c>
      <c r="AE21">
        <v>60.030855860749</v>
      </c>
      <c r="AF21" t="s">
        <v>37</v>
      </c>
    </row>
    <row r="22" spans="1:32" x14ac:dyDescent="0.3">
      <c r="A22">
        <v>49</v>
      </c>
      <c r="B22">
        <v>60</v>
      </c>
      <c r="C22">
        <v>89</v>
      </c>
      <c r="D22">
        <v>20</v>
      </c>
      <c r="E22">
        <v>6</v>
      </c>
      <c r="F22">
        <v>2</v>
      </c>
      <c r="G22" t="s">
        <v>38</v>
      </c>
      <c r="H22">
        <v>0.71682739999960099</v>
      </c>
      <c r="I22" t="s">
        <v>33</v>
      </c>
      <c r="J22">
        <v>2</v>
      </c>
      <c r="K22">
        <v>6</v>
      </c>
      <c r="L22">
        <v>20</v>
      </c>
      <c r="M22">
        <v>4</v>
      </c>
      <c r="N22">
        <v>61.112564000010003</v>
      </c>
      <c r="P22">
        <v>61.102964599995097</v>
      </c>
      <c r="Q22">
        <v>61.112564000010003</v>
      </c>
      <c r="R22">
        <v>62.112493900000104</v>
      </c>
      <c r="S22">
        <v>62.112493900000104</v>
      </c>
      <c r="T22">
        <v>62.112493900000104</v>
      </c>
      <c r="U22">
        <v>62.846173300000302</v>
      </c>
      <c r="V22" t="s">
        <v>38</v>
      </c>
      <c r="W22">
        <v>0.71682739999960099</v>
      </c>
      <c r="X22" t="s">
        <v>33</v>
      </c>
      <c r="Y22">
        <v>1</v>
      </c>
      <c r="Z22">
        <v>1</v>
      </c>
      <c r="AA22" t="s">
        <v>34</v>
      </c>
      <c r="AB22" t="s">
        <v>35</v>
      </c>
      <c r="AD22" t="s">
        <v>36</v>
      </c>
      <c r="AE22">
        <v>60.030855860749</v>
      </c>
      <c r="AF22" t="s">
        <v>37</v>
      </c>
    </row>
    <row r="23" spans="1:32" x14ac:dyDescent="0.3">
      <c r="A23">
        <v>27</v>
      </c>
      <c r="B23">
        <v>50</v>
      </c>
      <c r="C23">
        <v>21</v>
      </c>
      <c r="D23">
        <v>21</v>
      </c>
      <c r="E23">
        <v>0</v>
      </c>
      <c r="F23">
        <v>3</v>
      </c>
      <c r="G23" t="s">
        <v>38</v>
      </c>
      <c r="H23">
        <v>0.38440880001871802</v>
      </c>
      <c r="I23" t="s">
        <v>33</v>
      </c>
      <c r="J23">
        <v>3</v>
      </c>
      <c r="K23">
        <v>0</v>
      </c>
      <c r="L23">
        <v>21</v>
      </c>
      <c r="M23">
        <v>2</v>
      </c>
      <c r="N23">
        <v>62.862536900007399</v>
      </c>
      <c r="P23">
        <v>62.852368499996302</v>
      </c>
      <c r="Q23">
        <v>62.862536900007399</v>
      </c>
      <c r="R23">
        <v>63.8456405000179</v>
      </c>
      <c r="S23">
        <v>63.8456405000179</v>
      </c>
      <c r="T23">
        <v>63.8624129000236</v>
      </c>
      <c r="U23">
        <v>64.246171800012206</v>
      </c>
      <c r="V23" t="s">
        <v>38</v>
      </c>
      <c r="W23">
        <v>0.38440880001871802</v>
      </c>
      <c r="X23" t="s">
        <v>33</v>
      </c>
      <c r="Y23">
        <v>1</v>
      </c>
      <c r="Z23">
        <v>1</v>
      </c>
      <c r="AA23" t="s">
        <v>34</v>
      </c>
      <c r="AB23" t="s">
        <v>35</v>
      </c>
      <c r="AD23" t="s">
        <v>36</v>
      </c>
      <c r="AE23">
        <v>60.030855860749</v>
      </c>
      <c r="AF23" t="s">
        <v>37</v>
      </c>
    </row>
    <row r="24" spans="1:32" x14ac:dyDescent="0.3">
      <c r="A24">
        <v>67</v>
      </c>
      <c r="B24">
        <v>75</v>
      </c>
      <c r="C24">
        <v>119</v>
      </c>
      <c r="D24">
        <v>22</v>
      </c>
      <c r="E24">
        <v>1</v>
      </c>
      <c r="F24">
        <v>3</v>
      </c>
      <c r="G24" t="s">
        <v>38</v>
      </c>
      <c r="H24">
        <v>0.55786349999834695</v>
      </c>
      <c r="I24" t="s">
        <v>33</v>
      </c>
      <c r="J24">
        <v>3</v>
      </c>
      <c r="K24">
        <v>1</v>
      </c>
      <c r="L24">
        <v>22</v>
      </c>
      <c r="M24">
        <v>5</v>
      </c>
      <c r="N24">
        <v>64.262435300013706</v>
      </c>
      <c r="P24">
        <v>64.252380200021406</v>
      </c>
      <c r="Q24">
        <v>64.262435300013706</v>
      </c>
      <c r="R24">
        <v>65.245656000013696</v>
      </c>
      <c r="S24">
        <v>65.245656000013696</v>
      </c>
      <c r="T24">
        <v>65.262603900016899</v>
      </c>
      <c r="U24">
        <v>65.813175999996005</v>
      </c>
      <c r="V24" t="s">
        <v>38</v>
      </c>
      <c r="W24">
        <v>0.55786349999834695</v>
      </c>
      <c r="X24" t="s">
        <v>33</v>
      </c>
      <c r="Y24">
        <v>1</v>
      </c>
      <c r="Z24">
        <v>1</v>
      </c>
      <c r="AA24" t="s">
        <v>34</v>
      </c>
      <c r="AB24" t="s">
        <v>35</v>
      </c>
      <c r="AD24" t="s">
        <v>36</v>
      </c>
      <c r="AE24">
        <v>60.030855860749</v>
      </c>
      <c r="AF24" t="s">
        <v>37</v>
      </c>
    </row>
    <row r="25" spans="1:32" x14ac:dyDescent="0.3">
      <c r="A25">
        <v>40</v>
      </c>
      <c r="B25">
        <v>55</v>
      </c>
      <c r="C25">
        <v>62</v>
      </c>
      <c r="D25">
        <v>23</v>
      </c>
      <c r="E25">
        <v>2</v>
      </c>
      <c r="F25">
        <v>3</v>
      </c>
      <c r="G25" t="s">
        <v>38</v>
      </c>
      <c r="H25">
        <v>0.37498600000981203</v>
      </c>
      <c r="I25" t="s">
        <v>33</v>
      </c>
      <c r="J25">
        <v>3</v>
      </c>
      <c r="K25">
        <v>2</v>
      </c>
      <c r="L25">
        <v>23</v>
      </c>
      <c r="M25">
        <v>3</v>
      </c>
      <c r="N25">
        <v>65.829166700015705</v>
      </c>
      <c r="P25">
        <v>65.820360700017702</v>
      </c>
      <c r="Q25">
        <v>65.829166700015705</v>
      </c>
      <c r="R25">
        <v>66.812489700008797</v>
      </c>
      <c r="S25">
        <v>66.812489700008797</v>
      </c>
      <c r="T25">
        <v>66.829219400009606</v>
      </c>
      <c r="U25">
        <v>67.196463000000193</v>
      </c>
      <c r="V25" t="s">
        <v>38</v>
      </c>
      <c r="W25">
        <v>0.37498600000981203</v>
      </c>
      <c r="X25" t="s">
        <v>33</v>
      </c>
      <c r="Y25">
        <v>1</v>
      </c>
      <c r="Z25">
        <v>1</v>
      </c>
      <c r="AA25" t="s">
        <v>34</v>
      </c>
      <c r="AB25" t="s">
        <v>35</v>
      </c>
      <c r="AD25" t="s">
        <v>36</v>
      </c>
      <c r="AE25">
        <v>60.030855860749</v>
      </c>
      <c r="AF25" t="s">
        <v>37</v>
      </c>
    </row>
    <row r="26" spans="1:32" x14ac:dyDescent="0.3">
      <c r="A26">
        <v>78</v>
      </c>
      <c r="B26">
        <v>80</v>
      </c>
      <c r="C26">
        <v>162</v>
      </c>
      <c r="D26">
        <v>24</v>
      </c>
      <c r="E26">
        <v>3</v>
      </c>
      <c r="F26">
        <v>3</v>
      </c>
      <c r="G26" t="s">
        <v>38</v>
      </c>
      <c r="H26">
        <v>0.61593739999807395</v>
      </c>
      <c r="I26" t="s">
        <v>33</v>
      </c>
      <c r="J26">
        <v>3</v>
      </c>
      <c r="K26">
        <v>3</v>
      </c>
      <c r="L26">
        <v>24</v>
      </c>
      <c r="M26">
        <v>6</v>
      </c>
      <c r="N26">
        <v>67.212492400023606</v>
      </c>
      <c r="P26">
        <v>67.203013699996504</v>
      </c>
      <c r="Q26">
        <v>67.212492400023606</v>
      </c>
      <c r="R26">
        <v>68.195823700021705</v>
      </c>
      <c r="S26">
        <v>68.195823700021705</v>
      </c>
      <c r="T26">
        <v>68.212365600018501</v>
      </c>
      <c r="U26">
        <v>68.813126499997395</v>
      </c>
      <c r="V26" t="s">
        <v>38</v>
      </c>
      <c r="W26">
        <v>0.61593739999807395</v>
      </c>
      <c r="X26" t="s">
        <v>33</v>
      </c>
      <c r="Y26">
        <v>1</v>
      </c>
      <c r="Z26">
        <v>1</v>
      </c>
      <c r="AA26" t="s">
        <v>34</v>
      </c>
      <c r="AB26" t="s">
        <v>35</v>
      </c>
      <c r="AD26" t="s">
        <v>36</v>
      </c>
      <c r="AE26">
        <v>60.030855860749</v>
      </c>
      <c r="AF26" t="s">
        <v>37</v>
      </c>
    </row>
    <row r="27" spans="1:32" x14ac:dyDescent="0.3">
      <c r="A27">
        <v>49</v>
      </c>
      <c r="B27">
        <v>60</v>
      </c>
      <c r="C27">
        <v>89</v>
      </c>
      <c r="D27">
        <v>25</v>
      </c>
      <c r="E27">
        <v>4</v>
      </c>
      <c r="F27">
        <v>3</v>
      </c>
      <c r="G27" t="s">
        <v>38</v>
      </c>
      <c r="H27">
        <v>0.623415400012163</v>
      </c>
      <c r="I27" t="s">
        <v>33</v>
      </c>
      <c r="J27">
        <v>3</v>
      </c>
      <c r="K27">
        <v>4</v>
      </c>
      <c r="L27">
        <v>25</v>
      </c>
      <c r="M27">
        <v>4</v>
      </c>
      <c r="N27">
        <v>68.829368300008298</v>
      </c>
      <c r="P27">
        <v>68.820080200006402</v>
      </c>
      <c r="Q27">
        <v>68.829368300008298</v>
      </c>
      <c r="R27">
        <v>69.812314800015798</v>
      </c>
      <c r="S27">
        <v>69.812314800015798</v>
      </c>
      <c r="T27">
        <v>69.828965100023197</v>
      </c>
      <c r="U27">
        <v>70.4464006000198</v>
      </c>
      <c r="V27" t="s">
        <v>38</v>
      </c>
      <c r="W27">
        <v>0.623415400012163</v>
      </c>
      <c r="X27" t="s">
        <v>33</v>
      </c>
      <c r="Y27">
        <v>1</v>
      </c>
      <c r="Z27">
        <v>1</v>
      </c>
      <c r="AA27" t="s">
        <v>34</v>
      </c>
      <c r="AB27" t="s">
        <v>35</v>
      </c>
      <c r="AD27" t="s">
        <v>36</v>
      </c>
      <c r="AE27">
        <v>60.030855860749</v>
      </c>
      <c r="AF27" t="s">
        <v>37</v>
      </c>
    </row>
    <row r="28" spans="1:32" x14ac:dyDescent="0.3">
      <c r="A28">
        <v>11</v>
      </c>
      <c r="B28">
        <v>30</v>
      </c>
      <c r="C28">
        <v>7</v>
      </c>
      <c r="D28">
        <v>26</v>
      </c>
      <c r="E28">
        <v>5</v>
      </c>
      <c r="F28">
        <v>3</v>
      </c>
      <c r="G28" t="s">
        <v>32</v>
      </c>
      <c r="H28">
        <v>2.4718775000073898</v>
      </c>
      <c r="I28" t="s">
        <v>33</v>
      </c>
      <c r="J28">
        <v>3</v>
      </c>
      <c r="K28">
        <v>5</v>
      </c>
      <c r="L28">
        <v>26</v>
      </c>
      <c r="M28">
        <v>0</v>
      </c>
      <c r="N28">
        <v>70.462482600007206</v>
      </c>
      <c r="P28">
        <v>70.452644600008995</v>
      </c>
      <c r="Q28">
        <v>70.462482600007206</v>
      </c>
      <c r="R28">
        <v>71.4453821000061</v>
      </c>
      <c r="S28">
        <v>71.4453821000061</v>
      </c>
      <c r="T28">
        <v>71.462048400018801</v>
      </c>
      <c r="U28">
        <v>73.9298056999978</v>
      </c>
      <c r="V28" t="s">
        <v>32</v>
      </c>
      <c r="W28">
        <v>2.4718775000073898</v>
      </c>
      <c r="X28" t="s">
        <v>33</v>
      </c>
      <c r="Y28">
        <v>1</v>
      </c>
      <c r="Z28">
        <v>1</v>
      </c>
      <c r="AA28" t="s">
        <v>34</v>
      </c>
      <c r="AB28" t="s">
        <v>35</v>
      </c>
      <c r="AD28" t="s">
        <v>36</v>
      </c>
      <c r="AE28">
        <v>60.030855860749</v>
      </c>
      <c r="AF28" t="s">
        <v>37</v>
      </c>
    </row>
    <row r="29" spans="1:32" x14ac:dyDescent="0.3">
      <c r="A29">
        <v>15</v>
      </c>
      <c r="B29">
        <v>35</v>
      </c>
      <c r="C29">
        <v>13</v>
      </c>
      <c r="D29">
        <v>27</v>
      </c>
      <c r="E29">
        <v>6</v>
      </c>
      <c r="F29">
        <v>3</v>
      </c>
      <c r="G29" t="s">
        <v>32</v>
      </c>
      <c r="H29">
        <v>2.1712346999847698</v>
      </c>
      <c r="I29" t="s">
        <v>33</v>
      </c>
      <c r="J29">
        <v>3</v>
      </c>
      <c r="K29">
        <v>6</v>
      </c>
      <c r="L29">
        <v>27</v>
      </c>
      <c r="M29">
        <v>1</v>
      </c>
      <c r="N29">
        <v>73.945698700001202</v>
      </c>
      <c r="P29">
        <v>73.9369576000026</v>
      </c>
      <c r="Q29">
        <v>73.945698700001202</v>
      </c>
      <c r="R29">
        <v>74.929303100012405</v>
      </c>
      <c r="S29">
        <v>74.929303100012405</v>
      </c>
      <c r="T29">
        <v>74.946039500005995</v>
      </c>
      <c r="U29">
        <v>77.113270700006893</v>
      </c>
      <c r="V29" t="s">
        <v>32</v>
      </c>
      <c r="W29">
        <v>2.1712346999847698</v>
      </c>
      <c r="X29" t="s">
        <v>33</v>
      </c>
      <c r="Y29">
        <v>1</v>
      </c>
      <c r="Z29">
        <v>1</v>
      </c>
      <c r="AA29" t="s">
        <v>34</v>
      </c>
      <c r="AB29" t="s">
        <v>35</v>
      </c>
      <c r="AD29" t="s">
        <v>36</v>
      </c>
      <c r="AE29">
        <v>60.030855860749</v>
      </c>
      <c r="AF29" t="s">
        <v>37</v>
      </c>
    </row>
    <row r="30" spans="1:32" x14ac:dyDescent="0.3">
      <c r="A30">
        <v>67</v>
      </c>
      <c r="B30">
        <v>75</v>
      </c>
      <c r="C30">
        <v>119</v>
      </c>
      <c r="D30">
        <v>28</v>
      </c>
      <c r="E30">
        <v>0</v>
      </c>
      <c r="F30">
        <v>4</v>
      </c>
      <c r="G30" t="s">
        <v>38</v>
      </c>
      <c r="H30">
        <v>0.681692599988309</v>
      </c>
      <c r="I30" t="s">
        <v>33</v>
      </c>
      <c r="J30">
        <v>4</v>
      </c>
      <c r="K30">
        <v>0</v>
      </c>
      <c r="L30">
        <v>28</v>
      </c>
      <c r="M30">
        <v>5</v>
      </c>
      <c r="N30">
        <v>77.129018700012196</v>
      </c>
      <c r="P30">
        <v>77.119872700015506</v>
      </c>
      <c r="Q30">
        <v>77.129018700012196</v>
      </c>
      <c r="R30">
        <v>78.128948199999201</v>
      </c>
      <c r="S30">
        <v>78.128948199999201</v>
      </c>
      <c r="T30">
        <v>78.128948199999201</v>
      </c>
      <c r="U30">
        <v>78.8133364999957</v>
      </c>
      <c r="V30" t="s">
        <v>38</v>
      </c>
      <c r="W30">
        <v>0.681692599988309</v>
      </c>
      <c r="X30" t="s">
        <v>33</v>
      </c>
      <c r="Y30">
        <v>1</v>
      </c>
      <c r="Z30">
        <v>1</v>
      </c>
      <c r="AA30" t="s">
        <v>34</v>
      </c>
      <c r="AB30" t="s">
        <v>35</v>
      </c>
      <c r="AD30" t="s">
        <v>36</v>
      </c>
      <c r="AE30">
        <v>60.030855860749</v>
      </c>
      <c r="AF30" t="s">
        <v>37</v>
      </c>
    </row>
    <row r="31" spans="1:32" x14ac:dyDescent="0.3">
      <c r="A31">
        <v>11</v>
      </c>
      <c r="B31">
        <v>30</v>
      </c>
      <c r="C31">
        <v>7</v>
      </c>
      <c r="D31">
        <v>29</v>
      </c>
      <c r="E31">
        <v>1</v>
      </c>
      <c r="F31">
        <v>4</v>
      </c>
      <c r="G31" t="s">
        <v>32</v>
      </c>
      <c r="H31">
        <v>1.6381453999783799</v>
      </c>
      <c r="I31" t="s">
        <v>33</v>
      </c>
      <c r="J31">
        <v>4</v>
      </c>
      <c r="K31">
        <v>1</v>
      </c>
      <c r="L31">
        <v>29</v>
      </c>
      <c r="M31">
        <v>0</v>
      </c>
      <c r="N31">
        <v>78.828956600016596</v>
      </c>
      <c r="P31">
        <v>78.820478500012499</v>
      </c>
      <c r="Q31">
        <v>78.828956600016596</v>
      </c>
      <c r="R31">
        <v>79.812420000002007</v>
      </c>
      <c r="S31">
        <v>79.812420000002007</v>
      </c>
      <c r="T31">
        <v>79.829472800018195</v>
      </c>
      <c r="U31">
        <v>81.463156400015507</v>
      </c>
      <c r="V31" t="s">
        <v>32</v>
      </c>
      <c r="W31">
        <v>1.6381453999783799</v>
      </c>
      <c r="X31" t="s">
        <v>33</v>
      </c>
      <c r="Y31">
        <v>1</v>
      </c>
      <c r="Z31">
        <v>1</v>
      </c>
      <c r="AA31" t="s">
        <v>34</v>
      </c>
      <c r="AB31" t="s">
        <v>35</v>
      </c>
      <c r="AD31" t="s">
        <v>36</v>
      </c>
      <c r="AE31">
        <v>60.030855860749</v>
      </c>
      <c r="AF31" t="s">
        <v>37</v>
      </c>
    </row>
    <row r="32" spans="1:32" x14ac:dyDescent="0.3">
      <c r="A32">
        <v>49</v>
      </c>
      <c r="B32">
        <v>60</v>
      </c>
      <c r="C32">
        <v>89</v>
      </c>
      <c r="D32">
        <v>30</v>
      </c>
      <c r="E32">
        <v>2</v>
      </c>
      <c r="F32">
        <v>4</v>
      </c>
      <c r="G32" t="s">
        <v>38</v>
      </c>
      <c r="H32">
        <v>0.55399020001641397</v>
      </c>
      <c r="I32" t="s">
        <v>33</v>
      </c>
      <c r="J32">
        <v>4</v>
      </c>
      <c r="K32">
        <v>2</v>
      </c>
      <c r="L32">
        <v>30</v>
      </c>
      <c r="M32">
        <v>4</v>
      </c>
      <c r="N32">
        <v>81.479107300023301</v>
      </c>
      <c r="P32">
        <v>81.470145500003099</v>
      </c>
      <c r="Q32">
        <v>81.479107300023301</v>
      </c>
      <c r="R32">
        <v>82.478656899998896</v>
      </c>
      <c r="S32">
        <v>82.478656899998896</v>
      </c>
      <c r="T32">
        <v>82.478656899998896</v>
      </c>
      <c r="U32">
        <v>83.046377200022107</v>
      </c>
      <c r="V32" t="s">
        <v>38</v>
      </c>
      <c r="W32">
        <v>0.55399020001641397</v>
      </c>
      <c r="X32" t="s">
        <v>33</v>
      </c>
      <c r="Y32">
        <v>1</v>
      </c>
      <c r="Z32">
        <v>1</v>
      </c>
      <c r="AA32" t="s">
        <v>34</v>
      </c>
      <c r="AB32" t="s">
        <v>35</v>
      </c>
      <c r="AD32" t="s">
        <v>36</v>
      </c>
      <c r="AE32">
        <v>60.030855860749</v>
      </c>
      <c r="AF32" t="s">
        <v>37</v>
      </c>
    </row>
    <row r="33" spans="1:32" x14ac:dyDescent="0.3">
      <c r="A33">
        <v>15</v>
      </c>
      <c r="B33">
        <v>35</v>
      </c>
      <c r="C33">
        <v>13</v>
      </c>
      <c r="D33">
        <v>31</v>
      </c>
      <c r="E33">
        <v>3</v>
      </c>
      <c r="F33">
        <v>4</v>
      </c>
      <c r="G33" t="s">
        <v>32</v>
      </c>
      <c r="H33">
        <v>1.8179284000070699</v>
      </c>
      <c r="I33" t="s">
        <v>33</v>
      </c>
      <c r="J33">
        <v>4</v>
      </c>
      <c r="K33">
        <v>3</v>
      </c>
      <c r="L33">
        <v>31</v>
      </c>
      <c r="M33">
        <v>1</v>
      </c>
      <c r="N33">
        <v>83.062473700003395</v>
      </c>
      <c r="P33">
        <v>83.053589000017297</v>
      </c>
      <c r="Q33">
        <v>83.062473700003395</v>
      </c>
      <c r="R33">
        <v>84.062426200020099</v>
      </c>
      <c r="S33">
        <v>84.062426200020099</v>
      </c>
      <c r="T33">
        <v>84.062426200020099</v>
      </c>
      <c r="U33">
        <v>85.896073400013805</v>
      </c>
      <c r="V33" t="s">
        <v>32</v>
      </c>
      <c r="W33">
        <v>1.8179284000070699</v>
      </c>
      <c r="X33" t="s">
        <v>33</v>
      </c>
      <c r="Y33">
        <v>1</v>
      </c>
      <c r="Z33">
        <v>1</v>
      </c>
      <c r="AA33" t="s">
        <v>34</v>
      </c>
      <c r="AB33" t="s">
        <v>35</v>
      </c>
      <c r="AD33" t="s">
        <v>36</v>
      </c>
      <c r="AE33">
        <v>60.030855860749</v>
      </c>
      <c r="AF33" t="s">
        <v>37</v>
      </c>
    </row>
    <row r="34" spans="1:32" x14ac:dyDescent="0.3">
      <c r="A34">
        <v>40</v>
      </c>
      <c r="B34">
        <v>55</v>
      </c>
      <c r="C34">
        <v>62</v>
      </c>
      <c r="D34">
        <v>32</v>
      </c>
      <c r="E34">
        <v>4</v>
      </c>
      <c r="F34">
        <v>4</v>
      </c>
      <c r="G34" t="s">
        <v>38</v>
      </c>
      <c r="H34">
        <v>1.0309258000052</v>
      </c>
      <c r="I34" t="s">
        <v>33</v>
      </c>
      <c r="J34">
        <v>4</v>
      </c>
      <c r="K34">
        <v>4</v>
      </c>
      <c r="L34">
        <v>32</v>
      </c>
      <c r="M34">
        <v>3</v>
      </c>
      <c r="N34">
        <v>85.912760300008799</v>
      </c>
      <c r="P34">
        <v>85.902571200014705</v>
      </c>
      <c r="Q34">
        <v>85.912760300008799</v>
      </c>
      <c r="R34">
        <v>86.895449900010107</v>
      </c>
      <c r="S34">
        <v>86.895449900010107</v>
      </c>
      <c r="T34">
        <v>86.912756800011195</v>
      </c>
      <c r="U34">
        <v>87.929806600004596</v>
      </c>
      <c r="V34" t="s">
        <v>38</v>
      </c>
      <c r="W34">
        <v>1.0309258000052</v>
      </c>
      <c r="X34" t="s">
        <v>33</v>
      </c>
      <c r="Y34">
        <v>1</v>
      </c>
      <c r="Z34">
        <v>1</v>
      </c>
      <c r="AA34" t="s">
        <v>34</v>
      </c>
      <c r="AB34" t="s">
        <v>35</v>
      </c>
      <c r="AD34" t="s">
        <v>36</v>
      </c>
      <c r="AE34">
        <v>60.030855860749</v>
      </c>
      <c r="AF34" t="s">
        <v>37</v>
      </c>
    </row>
    <row r="35" spans="1:32" x14ac:dyDescent="0.3">
      <c r="A35">
        <v>27</v>
      </c>
      <c r="B35">
        <v>50</v>
      </c>
      <c r="C35">
        <v>21</v>
      </c>
      <c r="D35">
        <v>33</v>
      </c>
      <c r="E35">
        <v>5</v>
      </c>
      <c r="F35">
        <v>4</v>
      </c>
      <c r="G35" t="s">
        <v>38</v>
      </c>
      <c r="H35">
        <v>0.44590600000810798</v>
      </c>
      <c r="I35" t="s">
        <v>33</v>
      </c>
      <c r="J35">
        <v>4</v>
      </c>
      <c r="K35">
        <v>5</v>
      </c>
      <c r="L35">
        <v>33</v>
      </c>
      <c r="M35">
        <v>2</v>
      </c>
      <c r="N35">
        <v>87.945672100002398</v>
      </c>
      <c r="P35">
        <v>87.936703100014697</v>
      </c>
      <c r="Q35">
        <v>87.945672100002398</v>
      </c>
      <c r="R35">
        <v>88.928858900006105</v>
      </c>
      <c r="S35">
        <v>88.928858900006105</v>
      </c>
      <c r="T35">
        <v>88.945579200022607</v>
      </c>
      <c r="U35">
        <v>89.3798077999963</v>
      </c>
      <c r="V35" t="s">
        <v>38</v>
      </c>
      <c r="W35">
        <v>0.44590600000810798</v>
      </c>
      <c r="X35" t="s">
        <v>33</v>
      </c>
      <c r="Y35">
        <v>1</v>
      </c>
      <c r="Z35">
        <v>1</v>
      </c>
      <c r="AA35" t="s">
        <v>34</v>
      </c>
      <c r="AB35" t="s">
        <v>35</v>
      </c>
      <c r="AD35" t="s">
        <v>36</v>
      </c>
      <c r="AE35">
        <v>60.030855860749</v>
      </c>
      <c r="AF35" t="s">
        <v>37</v>
      </c>
    </row>
    <row r="36" spans="1:32" x14ac:dyDescent="0.3">
      <c r="A36">
        <v>78</v>
      </c>
      <c r="B36">
        <v>80</v>
      </c>
      <c r="C36">
        <v>162</v>
      </c>
      <c r="D36">
        <v>34</v>
      </c>
      <c r="E36">
        <v>6</v>
      </c>
      <c r="F36">
        <v>4</v>
      </c>
      <c r="G36" t="s">
        <v>38</v>
      </c>
      <c r="H36">
        <v>0.55832229999941696</v>
      </c>
      <c r="I36" t="s">
        <v>33</v>
      </c>
      <c r="J36">
        <v>4</v>
      </c>
      <c r="K36">
        <v>6</v>
      </c>
      <c r="L36">
        <v>34</v>
      </c>
      <c r="M36">
        <v>6</v>
      </c>
      <c r="N36">
        <v>89.395519000012399</v>
      </c>
      <c r="P36">
        <v>89.3863344000128</v>
      </c>
      <c r="Q36">
        <v>89.395519000012399</v>
      </c>
      <c r="R36">
        <v>90.395702400011899</v>
      </c>
      <c r="S36">
        <v>90.395702400011899</v>
      </c>
      <c r="T36">
        <v>90.395702400011899</v>
      </c>
      <c r="U36">
        <v>90.962695800000802</v>
      </c>
      <c r="V36" t="s">
        <v>38</v>
      </c>
      <c r="W36">
        <v>0.55832229999941696</v>
      </c>
      <c r="X36" t="s">
        <v>33</v>
      </c>
      <c r="Y36">
        <v>1</v>
      </c>
      <c r="Z36">
        <v>1</v>
      </c>
      <c r="AA36" t="s">
        <v>34</v>
      </c>
      <c r="AB36" t="s">
        <v>35</v>
      </c>
      <c r="AD36" t="s">
        <v>36</v>
      </c>
      <c r="AE36">
        <v>60.030855860749</v>
      </c>
      <c r="AF36" t="s">
        <v>37</v>
      </c>
    </row>
    <row r="37" spans="1:32" x14ac:dyDescent="0.3">
      <c r="A37">
        <v>27</v>
      </c>
      <c r="B37">
        <v>50</v>
      </c>
      <c r="C37">
        <v>21</v>
      </c>
      <c r="D37">
        <v>35</v>
      </c>
      <c r="E37">
        <v>0</v>
      </c>
      <c r="F37">
        <v>5</v>
      </c>
      <c r="G37" t="s">
        <v>32</v>
      </c>
      <c r="H37">
        <v>0.70085759999346897</v>
      </c>
      <c r="I37" t="s">
        <v>33</v>
      </c>
      <c r="J37">
        <v>5</v>
      </c>
      <c r="K37">
        <v>0</v>
      </c>
      <c r="L37">
        <v>35</v>
      </c>
      <c r="M37">
        <v>2</v>
      </c>
      <c r="N37">
        <v>90.978566100005906</v>
      </c>
      <c r="P37">
        <v>90.971466100018006</v>
      </c>
      <c r="Q37">
        <v>90.978566100005906</v>
      </c>
      <c r="R37">
        <v>91.962425300007396</v>
      </c>
      <c r="S37">
        <v>91.962425300007396</v>
      </c>
      <c r="T37">
        <v>91.979158500005695</v>
      </c>
      <c r="U37">
        <v>92.679903400014098</v>
      </c>
      <c r="V37" t="s">
        <v>32</v>
      </c>
      <c r="W37">
        <v>0.70085759999346897</v>
      </c>
      <c r="X37" t="s">
        <v>33</v>
      </c>
      <c r="Y37">
        <v>1</v>
      </c>
      <c r="Z37">
        <v>1</v>
      </c>
      <c r="AA37" t="s">
        <v>34</v>
      </c>
      <c r="AB37" t="s">
        <v>35</v>
      </c>
      <c r="AD37" t="s">
        <v>36</v>
      </c>
      <c r="AE37">
        <v>60.030855860749</v>
      </c>
      <c r="AF37" t="s">
        <v>37</v>
      </c>
    </row>
    <row r="38" spans="1:32" x14ac:dyDescent="0.3">
      <c r="A38">
        <v>67</v>
      </c>
      <c r="B38">
        <v>75</v>
      </c>
      <c r="C38">
        <v>119</v>
      </c>
      <c r="D38">
        <v>36</v>
      </c>
      <c r="E38">
        <v>1</v>
      </c>
      <c r="F38">
        <v>5</v>
      </c>
      <c r="G38" t="s">
        <v>38</v>
      </c>
      <c r="H38">
        <v>0.59594359999755397</v>
      </c>
      <c r="I38" t="s">
        <v>33</v>
      </c>
      <c r="J38">
        <v>5</v>
      </c>
      <c r="K38">
        <v>1</v>
      </c>
      <c r="L38">
        <v>36</v>
      </c>
      <c r="M38">
        <v>5</v>
      </c>
      <c r="N38">
        <v>92.695688700012397</v>
      </c>
      <c r="P38">
        <v>92.686286900017805</v>
      </c>
      <c r="Q38">
        <v>92.695688700012397</v>
      </c>
      <c r="R38">
        <v>93.679026099998694</v>
      </c>
      <c r="S38">
        <v>93.679026099998694</v>
      </c>
      <c r="T38">
        <v>93.695522499998305</v>
      </c>
      <c r="U38">
        <v>94.279749300010707</v>
      </c>
      <c r="V38" t="s">
        <v>38</v>
      </c>
      <c r="W38">
        <v>0.59594359999755397</v>
      </c>
      <c r="X38" t="s">
        <v>33</v>
      </c>
      <c r="Y38">
        <v>1</v>
      </c>
      <c r="Z38">
        <v>1</v>
      </c>
      <c r="AA38" t="s">
        <v>34</v>
      </c>
      <c r="AB38" t="s">
        <v>35</v>
      </c>
      <c r="AD38" t="s">
        <v>36</v>
      </c>
      <c r="AE38">
        <v>60.030855860749</v>
      </c>
      <c r="AF38" t="s">
        <v>37</v>
      </c>
    </row>
    <row r="39" spans="1:32" x14ac:dyDescent="0.3">
      <c r="A39">
        <v>40</v>
      </c>
      <c r="B39">
        <v>55</v>
      </c>
      <c r="C39">
        <v>62</v>
      </c>
      <c r="D39">
        <v>37</v>
      </c>
      <c r="E39">
        <v>2</v>
      </c>
      <c r="F39">
        <v>5</v>
      </c>
      <c r="G39" t="s">
        <v>38</v>
      </c>
      <c r="H39">
        <v>0.79867930000182197</v>
      </c>
      <c r="I39" t="s">
        <v>33</v>
      </c>
      <c r="J39">
        <v>5</v>
      </c>
      <c r="K39">
        <v>2</v>
      </c>
      <c r="L39">
        <v>37</v>
      </c>
      <c r="M39">
        <v>3</v>
      </c>
      <c r="N39">
        <v>94.295679000002494</v>
      </c>
      <c r="P39">
        <v>94.286983500001895</v>
      </c>
      <c r="Q39">
        <v>94.295679000002494</v>
      </c>
      <c r="R39">
        <v>95.2793246000073</v>
      </c>
      <c r="S39">
        <v>95.2793246000073</v>
      </c>
      <c r="T39">
        <v>95.295618400006703</v>
      </c>
      <c r="U39">
        <v>96.079486200003799</v>
      </c>
      <c r="V39" t="s">
        <v>38</v>
      </c>
      <c r="W39">
        <v>0.79867930000182197</v>
      </c>
      <c r="X39" t="s">
        <v>33</v>
      </c>
      <c r="Y39">
        <v>1</v>
      </c>
      <c r="Z39">
        <v>1</v>
      </c>
      <c r="AA39" t="s">
        <v>34</v>
      </c>
      <c r="AB39" t="s">
        <v>35</v>
      </c>
      <c r="AD39" t="s">
        <v>36</v>
      </c>
      <c r="AE39">
        <v>60.030855860749</v>
      </c>
      <c r="AF39" t="s">
        <v>37</v>
      </c>
    </row>
    <row r="40" spans="1:32" x14ac:dyDescent="0.3">
      <c r="A40">
        <v>78</v>
      </c>
      <c r="B40">
        <v>80</v>
      </c>
      <c r="C40">
        <v>162</v>
      </c>
      <c r="D40">
        <v>38</v>
      </c>
      <c r="E40">
        <v>3</v>
      </c>
      <c r="F40">
        <v>5</v>
      </c>
      <c r="G40" t="s">
        <v>38</v>
      </c>
      <c r="H40">
        <v>0.56603919999906704</v>
      </c>
      <c r="I40" t="s">
        <v>33</v>
      </c>
      <c r="J40">
        <v>5</v>
      </c>
      <c r="K40">
        <v>3</v>
      </c>
      <c r="L40">
        <v>38</v>
      </c>
      <c r="M40">
        <v>6</v>
      </c>
      <c r="N40">
        <v>96.095920699997805</v>
      </c>
      <c r="P40">
        <v>96.085893700015703</v>
      </c>
      <c r="Q40">
        <v>96.095920699997805</v>
      </c>
      <c r="R40">
        <v>97.079206399997901</v>
      </c>
      <c r="S40">
        <v>97.079206399997901</v>
      </c>
      <c r="T40">
        <v>97.095641200023195</v>
      </c>
      <c r="U40">
        <v>97.646936500008394</v>
      </c>
      <c r="V40" t="s">
        <v>38</v>
      </c>
      <c r="W40">
        <v>0.56603919999906704</v>
      </c>
      <c r="X40" t="s">
        <v>33</v>
      </c>
      <c r="Y40">
        <v>1</v>
      </c>
      <c r="Z40">
        <v>1</v>
      </c>
      <c r="AA40" t="s">
        <v>34</v>
      </c>
      <c r="AB40" t="s">
        <v>35</v>
      </c>
      <c r="AD40" t="s">
        <v>36</v>
      </c>
      <c r="AE40">
        <v>60.030855860749</v>
      </c>
      <c r="AF40" t="s">
        <v>37</v>
      </c>
    </row>
    <row r="41" spans="1:32" x14ac:dyDescent="0.3">
      <c r="A41">
        <v>11</v>
      </c>
      <c r="B41">
        <v>30</v>
      </c>
      <c r="C41">
        <v>7</v>
      </c>
      <c r="D41">
        <v>39</v>
      </c>
      <c r="E41">
        <v>4</v>
      </c>
      <c r="F41">
        <v>5</v>
      </c>
      <c r="G41" t="s">
        <v>32</v>
      </c>
      <c r="H41">
        <v>0.54192499999771804</v>
      </c>
      <c r="I41" t="s">
        <v>33</v>
      </c>
      <c r="J41">
        <v>5</v>
      </c>
      <c r="K41">
        <v>4</v>
      </c>
      <c r="L41">
        <v>39</v>
      </c>
      <c r="M41">
        <v>0</v>
      </c>
      <c r="N41">
        <v>97.662346600001896</v>
      </c>
      <c r="P41">
        <v>97.653511000011306</v>
      </c>
      <c r="Q41">
        <v>97.662346600001896</v>
      </c>
      <c r="R41">
        <v>98.662481700011995</v>
      </c>
      <c r="S41">
        <v>98.662481700011995</v>
      </c>
      <c r="T41">
        <v>98.662481700011995</v>
      </c>
      <c r="U41">
        <v>99.213459100021197</v>
      </c>
      <c r="V41" t="s">
        <v>32</v>
      </c>
      <c r="W41">
        <v>0.54192499999771804</v>
      </c>
      <c r="X41" t="s">
        <v>33</v>
      </c>
      <c r="Y41">
        <v>1</v>
      </c>
      <c r="Z41">
        <v>1</v>
      </c>
      <c r="AA41" t="s">
        <v>34</v>
      </c>
      <c r="AB41" t="s">
        <v>35</v>
      </c>
      <c r="AD41" t="s">
        <v>36</v>
      </c>
      <c r="AE41">
        <v>60.030855860749</v>
      </c>
      <c r="AF41" t="s">
        <v>37</v>
      </c>
    </row>
    <row r="42" spans="1:32" x14ac:dyDescent="0.3">
      <c r="A42">
        <v>15</v>
      </c>
      <c r="B42">
        <v>35</v>
      </c>
      <c r="C42">
        <v>13</v>
      </c>
      <c r="D42">
        <v>40</v>
      </c>
      <c r="E42">
        <v>5</v>
      </c>
      <c r="F42">
        <v>5</v>
      </c>
      <c r="G42" t="s">
        <v>32</v>
      </c>
      <c r="H42">
        <v>0.41639399999985399</v>
      </c>
      <c r="I42" t="s">
        <v>33</v>
      </c>
      <c r="J42">
        <v>5</v>
      </c>
      <c r="K42">
        <v>5</v>
      </c>
      <c r="L42">
        <v>40</v>
      </c>
      <c r="M42">
        <v>1</v>
      </c>
      <c r="N42">
        <v>99.229138499998896</v>
      </c>
      <c r="P42">
        <v>99.219784700020597</v>
      </c>
      <c r="Q42">
        <v>99.229138499998896</v>
      </c>
      <c r="R42">
        <v>100.229261800006</v>
      </c>
      <c r="S42">
        <v>100.229261800006</v>
      </c>
      <c r="T42">
        <v>100.229261800006</v>
      </c>
      <c r="U42">
        <v>100.646502799994</v>
      </c>
      <c r="V42" t="s">
        <v>32</v>
      </c>
      <c r="W42">
        <v>0.41639399999985399</v>
      </c>
      <c r="X42" t="s">
        <v>33</v>
      </c>
      <c r="Y42">
        <v>1</v>
      </c>
      <c r="Z42">
        <v>1</v>
      </c>
      <c r="AA42" t="s">
        <v>34</v>
      </c>
      <c r="AB42" t="s">
        <v>35</v>
      </c>
      <c r="AD42" t="s">
        <v>36</v>
      </c>
      <c r="AE42">
        <v>60.030855860749</v>
      </c>
      <c r="AF42" t="s">
        <v>37</v>
      </c>
    </row>
    <row r="43" spans="1:32" x14ac:dyDescent="0.3">
      <c r="A43">
        <v>49</v>
      </c>
      <c r="B43">
        <v>60</v>
      </c>
      <c r="C43">
        <v>89</v>
      </c>
      <c r="D43">
        <v>41</v>
      </c>
      <c r="E43">
        <v>6</v>
      </c>
      <c r="F43">
        <v>5</v>
      </c>
      <c r="G43" t="s">
        <v>38</v>
      </c>
      <c r="H43">
        <v>0.85323489998700097</v>
      </c>
      <c r="I43" t="s">
        <v>33</v>
      </c>
      <c r="J43">
        <v>5</v>
      </c>
      <c r="K43">
        <v>6</v>
      </c>
      <c r="L43">
        <v>41</v>
      </c>
      <c r="M43">
        <v>4</v>
      </c>
      <c r="N43">
        <v>100.662313500011</v>
      </c>
      <c r="P43">
        <v>100.653962900018</v>
      </c>
      <c r="Q43">
        <v>100.662313500011</v>
      </c>
      <c r="R43">
        <v>101.645684899995</v>
      </c>
      <c r="S43">
        <v>101.645684899995</v>
      </c>
      <c r="T43">
        <v>101.662428200012</v>
      </c>
      <c r="U43">
        <v>102.51321160001601</v>
      </c>
      <c r="V43" t="s">
        <v>38</v>
      </c>
      <c r="W43">
        <v>0.85323489998700097</v>
      </c>
      <c r="X43" t="s">
        <v>33</v>
      </c>
      <c r="Y43">
        <v>1</v>
      </c>
      <c r="Z43">
        <v>1</v>
      </c>
      <c r="AA43" t="s">
        <v>34</v>
      </c>
      <c r="AB43" t="s">
        <v>35</v>
      </c>
      <c r="AD43" t="s">
        <v>36</v>
      </c>
      <c r="AE43">
        <v>60.030855860749</v>
      </c>
      <c r="AF43" t="s">
        <v>37</v>
      </c>
    </row>
    <row r="44" spans="1:32" x14ac:dyDescent="0.3">
      <c r="A44">
        <v>67</v>
      </c>
      <c r="B44">
        <v>75</v>
      </c>
      <c r="C44">
        <v>119</v>
      </c>
      <c r="D44">
        <v>42</v>
      </c>
      <c r="E44">
        <v>0</v>
      </c>
      <c r="F44">
        <v>6</v>
      </c>
      <c r="G44" t="s">
        <v>38</v>
      </c>
      <c r="H44">
        <v>0.58821300000999999</v>
      </c>
      <c r="I44" t="s">
        <v>33</v>
      </c>
      <c r="J44">
        <v>6</v>
      </c>
      <c r="K44">
        <v>0</v>
      </c>
      <c r="L44">
        <v>42</v>
      </c>
      <c r="M44">
        <v>5</v>
      </c>
      <c r="N44">
        <v>102.529106400004</v>
      </c>
      <c r="P44">
        <v>102.519653900002</v>
      </c>
      <c r="Q44">
        <v>102.529106400004</v>
      </c>
      <c r="R44">
        <v>103.512494599999</v>
      </c>
      <c r="S44">
        <v>103.512494599999</v>
      </c>
      <c r="T44">
        <v>103.528971699997</v>
      </c>
      <c r="U44">
        <v>104.113501300016</v>
      </c>
      <c r="V44" t="s">
        <v>38</v>
      </c>
      <c r="W44">
        <v>0.58821300000999999</v>
      </c>
      <c r="X44" t="s">
        <v>33</v>
      </c>
      <c r="Y44">
        <v>1</v>
      </c>
      <c r="Z44">
        <v>1</v>
      </c>
      <c r="AA44" t="s">
        <v>34</v>
      </c>
      <c r="AB44" t="s">
        <v>35</v>
      </c>
      <c r="AD44" t="s">
        <v>36</v>
      </c>
      <c r="AE44">
        <v>60.030855860749</v>
      </c>
      <c r="AF44" t="s">
        <v>37</v>
      </c>
    </row>
    <row r="45" spans="1:32" x14ac:dyDescent="0.3">
      <c r="A45">
        <v>11</v>
      </c>
      <c r="B45">
        <v>30</v>
      </c>
      <c r="C45">
        <v>7</v>
      </c>
      <c r="D45">
        <v>43</v>
      </c>
      <c r="E45">
        <v>1</v>
      </c>
      <c r="F45">
        <v>6</v>
      </c>
      <c r="G45" t="s">
        <v>38</v>
      </c>
      <c r="H45">
        <v>0.29976880000322098</v>
      </c>
      <c r="I45" t="s">
        <v>33</v>
      </c>
      <c r="J45">
        <v>6</v>
      </c>
      <c r="K45">
        <v>1</v>
      </c>
      <c r="L45">
        <v>43</v>
      </c>
      <c r="M45">
        <v>0</v>
      </c>
      <c r="N45">
        <v>104.12909910001299</v>
      </c>
      <c r="P45">
        <v>104.120693600008</v>
      </c>
      <c r="Q45">
        <v>104.12909910001299</v>
      </c>
      <c r="R45">
        <v>105.129070099996</v>
      </c>
      <c r="S45">
        <v>105.129070099996</v>
      </c>
      <c r="T45">
        <v>105.129070099996</v>
      </c>
      <c r="U45">
        <v>105.430424999998</v>
      </c>
      <c r="V45" t="s">
        <v>38</v>
      </c>
      <c r="W45">
        <v>0.29976880000322098</v>
      </c>
      <c r="X45" t="s">
        <v>33</v>
      </c>
      <c r="Y45">
        <v>1</v>
      </c>
      <c r="Z45">
        <v>1</v>
      </c>
      <c r="AA45" t="s">
        <v>34</v>
      </c>
      <c r="AB45" t="s">
        <v>35</v>
      </c>
      <c r="AD45" t="s">
        <v>36</v>
      </c>
      <c r="AE45">
        <v>60.030855860749</v>
      </c>
      <c r="AF45" t="s">
        <v>37</v>
      </c>
    </row>
    <row r="46" spans="1:32" x14ac:dyDescent="0.3">
      <c r="A46">
        <v>27</v>
      </c>
      <c r="B46">
        <v>50</v>
      </c>
      <c r="C46">
        <v>21</v>
      </c>
      <c r="D46">
        <v>44</v>
      </c>
      <c r="E46">
        <v>2</v>
      </c>
      <c r="F46">
        <v>6</v>
      </c>
      <c r="G46" t="s">
        <v>32</v>
      </c>
      <c r="H46">
        <v>0.61618469998938896</v>
      </c>
      <c r="I46" t="s">
        <v>33</v>
      </c>
      <c r="J46">
        <v>6</v>
      </c>
      <c r="K46">
        <v>2</v>
      </c>
      <c r="L46">
        <v>44</v>
      </c>
      <c r="M46">
        <v>2</v>
      </c>
      <c r="N46">
        <v>105.445640599995</v>
      </c>
      <c r="P46">
        <v>105.437514400022</v>
      </c>
      <c r="Q46">
        <v>105.445640599995</v>
      </c>
      <c r="R46">
        <v>106.4456527</v>
      </c>
      <c r="S46">
        <v>106.4456527</v>
      </c>
      <c r="T46">
        <v>106.4456527</v>
      </c>
      <c r="U46">
        <v>107.06319909999699</v>
      </c>
      <c r="V46" t="s">
        <v>32</v>
      </c>
      <c r="W46">
        <v>0.61618469998938896</v>
      </c>
      <c r="X46" t="s">
        <v>33</v>
      </c>
      <c r="Y46">
        <v>1</v>
      </c>
      <c r="Z46">
        <v>1</v>
      </c>
      <c r="AA46" t="s">
        <v>34</v>
      </c>
      <c r="AB46" t="s">
        <v>35</v>
      </c>
      <c r="AD46" t="s">
        <v>36</v>
      </c>
      <c r="AE46">
        <v>60.030855860749</v>
      </c>
      <c r="AF46" t="s">
        <v>37</v>
      </c>
    </row>
    <row r="47" spans="1:32" x14ac:dyDescent="0.3">
      <c r="A47">
        <v>15</v>
      </c>
      <c r="B47">
        <v>35</v>
      </c>
      <c r="C47">
        <v>13</v>
      </c>
      <c r="D47">
        <v>45</v>
      </c>
      <c r="E47">
        <v>3</v>
      </c>
      <c r="F47">
        <v>6</v>
      </c>
      <c r="G47" t="s">
        <v>32</v>
      </c>
      <c r="H47">
        <v>1.10055050000664</v>
      </c>
      <c r="I47" t="s">
        <v>33</v>
      </c>
      <c r="J47">
        <v>6</v>
      </c>
      <c r="K47">
        <v>3</v>
      </c>
      <c r="L47">
        <v>45</v>
      </c>
      <c r="M47">
        <v>1</v>
      </c>
      <c r="N47">
        <v>107.078747499996</v>
      </c>
      <c r="P47">
        <v>107.07028640000399</v>
      </c>
      <c r="Q47">
        <v>107.078747499996</v>
      </c>
      <c r="R47">
        <v>108.07901220000301</v>
      </c>
      <c r="S47">
        <v>108.07901220000301</v>
      </c>
      <c r="T47">
        <v>108.07901220000301</v>
      </c>
      <c r="U47">
        <v>109.196372000005</v>
      </c>
      <c r="V47" t="s">
        <v>32</v>
      </c>
      <c r="W47">
        <v>1.10055050000664</v>
      </c>
      <c r="X47" t="s">
        <v>33</v>
      </c>
      <c r="Y47">
        <v>1</v>
      </c>
      <c r="Z47">
        <v>1</v>
      </c>
      <c r="AA47" t="s">
        <v>34</v>
      </c>
      <c r="AB47" t="s">
        <v>35</v>
      </c>
      <c r="AD47" t="s">
        <v>36</v>
      </c>
      <c r="AE47">
        <v>60.030855860749</v>
      </c>
      <c r="AF47" t="s">
        <v>37</v>
      </c>
    </row>
    <row r="48" spans="1:32" x14ac:dyDescent="0.3">
      <c r="A48">
        <v>49</v>
      </c>
      <c r="B48">
        <v>60</v>
      </c>
      <c r="C48">
        <v>89</v>
      </c>
      <c r="D48">
        <v>46</v>
      </c>
      <c r="E48">
        <v>4</v>
      </c>
      <c r="F48">
        <v>6</v>
      </c>
      <c r="G48" t="s">
        <v>38</v>
      </c>
      <c r="H48">
        <v>0.48207659999024999</v>
      </c>
      <c r="I48" t="s">
        <v>33</v>
      </c>
      <c r="J48">
        <v>6</v>
      </c>
      <c r="K48">
        <v>4</v>
      </c>
      <c r="L48">
        <v>46</v>
      </c>
      <c r="M48">
        <v>4</v>
      </c>
      <c r="N48">
        <v>109.21270220002</v>
      </c>
      <c r="P48">
        <v>109.201319400017</v>
      </c>
      <c r="Q48">
        <v>109.21270220002</v>
      </c>
      <c r="R48">
        <v>110.195980899996</v>
      </c>
      <c r="S48">
        <v>110.195980899996</v>
      </c>
      <c r="T48">
        <v>110.212507400021</v>
      </c>
      <c r="U48">
        <v>110.679606500023</v>
      </c>
      <c r="V48" t="s">
        <v>38</v>
      </c>
      <c r="W48">
        <v>0.48207659999024999</v>
      </c>
      <c r="X48" t="s">
        <v>33</v>
      </c>
      <c r="Y48">
        <v>1</v>
      </c>
      <c r="Z48">
        <v>1</v>
      </c>
      <c r="AA48" t="s">
        <v>34</v>
      </c>
      <c r="AB48" t="s">
        <v>35</v>
      </c>
      <c r="AD48" t="s">
        <v>36</v>
      </c>
      <c r="AE48">
        <v>60.030855860749</v>
      </c>
      <c r="AF48" t="s">
        <v>37</v>
      </c>
    </row>
    <row r="49" spans="1:32" x14ac:dyDescent="0.3">
      <c r="A49">
        <v>78</v>
      </c>
      <c r="B49">
        <v>80</v>
      </c>
      <c r="C49">
        <v>162</v>
      </c>
      <c r="D49">
        <v>47</v>
      </c>
      <c r="E49">
        <v>5</v>
      </c>
      <c r="F49">
        <v>6</v>
      </c>
      <c r="G49" t="s">
        <v>38</v>
      </c>
      <c r="H49">
        <v>0.44956109998747701</v>
      </c>
      <c r="I49" t="s">
        <v>33</v>
      </c>
      <c r="J49">
        <v>6</v>
      </c>
      <c r="K49">
        <v>5</v>
      </c>
      <c r="L49">
        <v>47</v>
      </c>
      <c r="M49">
        <v>6</v>
      </c>
      <c r="N49">
        <v>110.695134500012</v>
      </c>
      <c r="P49">
        <v>110.68729359999899</v>
      </c>
      <c r="Q49">
        <v>110.695134500012</v>
      </c>
      <c r="R49">
        <v>111.678945000021</v>
      </c>
      <c r="S49">
        <v>111.678945000021</v>
      </c>
      <c r="T49">
        <v>111.695663599995</v>
      </c>
      <c r="U49">
        <v>112.129793500003</v>
      </c>
      <c r="V49" t="s">
        <v>38</v>
      </c>
      <c r="W49">
        <v>0.44956109998747701</v>
      </c>
      <c r="X49" t="s">
        <v>33</v>
      </c>
      <c r="Y49">
        <v>1</v>
      </c>
      <c r="Z49">
        <v>1</v>
      </c>
      <c r="AA49" t="s">
        <v>34</v>
      </c>
      <c r="AB49" t="s">
        <v>35</v>
      </c>
      <c r="AD49" t="s">
        <v>36</v>
      </c>
      <c r="AE49">
        <v>60.030855860749</v>
      </c>
      <c r="AF49" t="s">
        <v>37</v>
      </c>
    </row>
    <row r="50" spans="1:32" x14ac:dyDescent="0.3">
      <c r="A50">
        <v>40</v>
      </c>
      <c r="B50">
        <v>55</v>
      </c>
      <c r="C50">
        <v>62</v>
      </c>
      <c r="D50">
        <v>48</v>
      </c>
      <c r="E50">
        <v>6</v>
      </c>
      <c r="F50">
        <v>6</v>
      </c>
      <c r="G50" t="s">
        <v>38</v>
      </c>
      <c r="H50">
        <v>0.392171499988762</v>
      </c>
      <c r="I50" t="s">
        <v>33</v>
      </c>
      <c r="J50">
        <v>6</v>
      </c>
      <c r="K50">
        <v>6</v>
      </c>
      <c r="L50">
        <v>48</v>
      </c>
      <c r="M50">
        <v>3</v>
      </c>
      <c r="N50">
        <v>112.145632800005</v>
      </c>
      <c r="P50">
        <v>112.136323800019</v>
      </c>
      <c r="Q50">
        <v>112.145632800005</v>
      </c>
      <c r="R50">
        <v>113.128922100004</v>
      </c>
      <c r="S50">
        <v>113.128922100004</v>
      </c>
      <c r="T50">
        <v>113.14549379999499</v>
      </c>
      <c r="U50">
        <v>113.529998100013</v>
      </c>
      <c r="V50" t="s">
        <v>38</v>
      </c>
      <c r="W50">
        <v>0.392171499988762</v>
      </c>
      <c r="X50" t="s">
        <v>33</v>
      </c>
      <c r="Y50">
        <v>1</v>
      </c>
      <c r="Z50">
        <v>1</v>
      </c>
      <c r="AA50" t="s">
        <v>34</v>
      </c>
      <c r="AB50" t="s">
        <v>35</v>
      </c>
      <c r="AD50" t="s">
        <v>36</v>
      </c>
      <c r="AE50">
        <v>60.030855860749</v>
      </c>
      <c r="AF50" t="s">
        <v>37</v>
      </c>
    </row>
    <row r="51" spans="1:32" x14ac:dyDescent="0.3">
      <c r="A51">
        <v>15</v>
      </c>
      <c r="B51">
        <v>35</v>
      </c>
      <c r="C51">
        <v>13</v>
      </c>
      <c r="D51">
        <v>49</v>
      </c>
      <c r="E51">
        <v>0</v>
      </c>
      <c r="F51">
        <v>7</v>
      </c>
      <c r="G51" t="s">
        <v>38</v>
      </c>
      <c r="H51">
        <v>0.36147479998180598</v>
      </c>
      <c r="I51" t="s">
        <v>33</v>
      </c>
      <c r="J51">
        <v>7</v>
      </c>
      <c r="K51">
        <v>0</v>
      </c>
      <c r="L51">
        <v>49</v>
      </c>
      <c r="M51">
        <v>1</v>
      </c>
      <c r="N51">
        <v>113.545652700006</v>
      </c>
      <c r="P51">
        <v>113.53737500001399</v>
      </c>
      <c r="Q51">
        <v>113.545652700006</v>
      </c>
      <c r="R51">
        <v>114.545536599995</v>
      </c>
      <c r="S51">
        <v>114.545536599995</v>
      </c>
      <c r="T51">
        <v>114.545536599995</v>
      </c>
      <c r="U51">
        <v>114.91316430000001</v>
      </c>
      <c r="V51" t="s">
        <v>38</v>
      </c>
      <c r="W51">
        <v>0.36147479998180598</v>
      </c>
      <c r="X51" t="s">
        <v>33</v>
      </c>
      <c r="Y51">
        <v>1</v>
      </c>
      <c r="Z51">
        <v>1</v>
      </c>
      <c r="AA51" t="s">
        <v>34</v>
      </c>
      <c r="AB51" t="s">
        <v>35</v>
      </c>
      <c r="AD51" t="s">
        <v>36</v>
      </c>
      <c r="AE51">
        <v>60.030855860749</v>
      </c>
      <c r="AF51" t="s">
        <v>37</v>
      </c>
    </row>
    <row r="52" spans="1:32" x14ac:dyDescent="0.3">
      <c r="A52">
        <v>49</v>
      </c>
      <c r="B52">
        <v>60</v>
      </c>
      <c r="C52">
        <v>89</v>
      </c>
      <c r="D52">
        <v>50</v>
      </c>
      <c r="E52">
        <v>1</v>
      </c>
      <c r="F52">
        <v>7</v>
      </c>
      <c r="G52" t="s">
        <v>38</v>
      </c>
      <c r="H52">
        <v>0.555578800005605</v>
      </c>
      <c r="I52" t="s">
        <v>33</v>
      </c>
      <c r="J52">
        <v>7</v>
      </c>
      <c r="K52">
        <v>1</v>
      </c>
      <c r="L52">
        <v>50</v>
      </c>
      <c r="M52">
        <v>4</v>
      </c>
      <c r="N52">
        <v>114.92908030000299</v>
      </c>
      <c r="P52">
        <v>114.919192500005</v>
      </c>
      <c r="Q52">
        <v>114.92908030000299</v>
      </c>
      <c r="R52">
        <v>115.929106900002</v>
      </c>
      <c r="S52">
        <v>115.929106900002</v>
      </c>
      <c r="T52">
        <v>115.929106900002</v>
      </c>
      <c r="U52">
        <v>116.496435800014</v>
      </c>
      <c r="V52" t="s">
        <v>38</v>
      </c>
      <c r="W52">
        <v>0.555578800005605</v>
      </c>
      <c r="X52" t="s">
        <v>33</v>
      </c>
      <c r="Y52">
        <v>1</v>
      </c>
      <c r="Z52">
        <v>1</v>
      </c>
      <c r="AA52" t="s">
        <v>34</v>
      </c>
      <c r="AB52" t="s">
        <v>35</v>
      </c>
      <c r="AD52" t="s">
        <v>36</v>
      </c>
      <c r="AE52">
        <v>60.030855860749</v>
      </c>
      <c r="AF52" t="s">
        <v>37</v>
      </c>
    </row>
    <row r="53" spans="1:32" x14ac:dyDescent="0.3">
      <c r="A53">
        <v>27</v>
      </c>
      <c r="B53">
        <v>50</v>
      </c>
      <c r="C53">
        <v>21</v>
      </c>
      <c r="D53">
        <v>51</v>
      </c>
      <c r="E53">
        <v>2</v>
      </c>
      <c r="F53">
        <v>7</v>
      </c>
      <c r="G53" t="s">
        <v>32</v>
      </c>
      <c r="H53">
        <v>0.50471249999827705</v>
      </c>
      <c r="I53" t="s">
        <v>33</v>
      </c>
      <c r="J53">
        <v>7</v>
      </c>
      <c r="K53">
        <v>2</v>
      </c>
      <c r="L53">
        <v>51</v>
      </c>
      <c r="M53">
        <v>2</v>
      </c>
      <c r="N53">
        <v>116.51231260001001</v>
      </c>
      <c r="P53">
        <v>116.50364160002199</v>
      </c>
      <c r="Q53">
        <v>116.51231260001001</v>
      </c>
      <c r="R53">
        <v>117.495668899995</v>
      </c>
      <c r="S53">
        <v>117.495668899995</v>
      </c>
      <c r="T53">
        <v>117.51235460001</v>
      </c>
      <c r="U53">
        <v>118.013114800007</v>
      </c>
      <c r="V53" t="s">
        <v>32</v>
      </c>
      <c r="W53">
        <v>0.50471249999827705</v>
      </c>
      <c r="X53" t="s">
        <v>33</v>
      </c>
      <c r="Y53">
        <v>1</v>
      </c>
      <c r="Z53">
        <v>1</v>
      </c>
      <c r="AA53" t="s">
        <v>34</v>
      </c>
      <c r="AB53" t="s">
        <v>35</v>
      </c>
      <c r="AD53" t="s">
        <v>36</v>
      </c>
      <c r="AE53">
        <v>60.030855860749</v>
      </c>
      <c r="AF53" t="s">
        <v>37</v>
      </c>
    </row>
    <row r="54" spans="1:32" x14ac:dyDescent="0.3">
      <c r="A54">
        <v>67</v>
      </c>
      <c r="B54">
        <v>75</v>
      </c>
      <c r="C54">
        <v>119</v>
      </c>
      <c r="D54">
        <v>52</v>
      </c>
      <c r="E54">
        <v>3</v>
      </c>
      <c r="F54">
        <v>7</v>
      </c>
      <c r="G54" t="s">
        <v>38</v>
      </c>
      <c r="H54">
        <v>0.62947210000129405</v>
      </c>
      <c r="I54" t="s">
        <v>33</v>
      </c>
      <c r="J54">
        <v>7</v>
      </c>
      <c r="K54">
        <v>3</v>
      </c>
      <c r="L54">
        <v>52</v>
      </c>
      <c r="M54">
        <v>5</v>
      </c>
      <c r="N54">
        <v>118.029015800013</v>
      </c>
      <c r="P54">
        <v>118.019705800019</v>
      </c>
      <c r="Q54">
        <v>118.029015800013</v>
      </c>
      <c r="R54">
        <v>119.012416300014</v>
      </c>
      <c r="S54">
        <v>119.012416300014</v>
      </c>
      <c r="T54">
        <v>119.02898620002</v>
      </c>
      <c r="U54">
        <v>119.646190800005</v>
      </c>
      <c r="V54" t="s">
        <v>38</v>
      </c>
      <c r="W54">
        <v>0.62947210000129405</v>
      </c>
      <c r="X54" t="s">
        <v>33</v>
      </c>
      <c r="Y54">
        <v>1</v>
      </c>
      <c r="Z54">
        <v>1</v>
      </c>
      <c r="AA54" t="s">
        <v>34</v>
      </c>
      <c r="AB54" t="s">
        <v>35</v>
      </c>
      <c r="AD54" t="s">
        <v>36</v>
      </c>
      <c r="AE54">
        <v>60.030855860749</v>
      </c>
      <c r="AF54" t="s">
        <v>37</v>
      </c>
    </row>
    <row r="55" spans="1:32" x14ac:dyDescent="0.3">
      <c r="A55">
        <v>40</v>
      </c>
      <c r="B55">
        <v>55</v>
      </c>
      <c r="C55">
        <v>62</v>
      </c>
      <c r="D55">
        <v>53</v>
      </c>
      <c r="E55">
        <v>4</v>
      </c>
      <c r="F55">
        <v>7</v>
      </c>
      <c r="G55" t="s">
        <v>38</v>
      </c>
      <c r="H55">
        <v>0.67780150001635697</v>
      </c>
      <c r="I55" t="s">
        <v>33</v>
      </c>
      <c r="J55">
        <v>7</v>
      </c>
      <c r="K55">
        <v>4</v>
      </c>
      <c r="L55">
        <v>53</v>
      </c>
      <c r="M55">
        <v>3</v>
      </c>
      <c r="N55">
        <v>119.66203600002299</v>
      </c>
      <c r="P55">
        <v>119.655969000014</v>
      </c>
      <c r="Q55">
        <v>119.66203600002299</v>
      </c>
      <c r="R55">
        <v>120.645589899999</v>
      </c>
      <c r="S55">
        <v>120.645589899999</v>
      </c>
      <c r="T55">
        <v>120.662574200017</v>
      </c>
      <c r="U55">
        <v>121.329707199998</v>
      </c>
      <c r="V55" t="s">
        <v>38</v>
      </c>
      <c r="W55">
        <v>0.67780150001635697</v>
      </c>
      <c r="X55" t="s">
        <v>33</v>
      </c>
      <c r="Y55">
        <v>1</v>
      </c>
      <c r="Z55">
        <v>1</v>
      </c>
      <c r="AA55" t="s">
        <v>34</v>
      </c>
      <c r="AB55" t="s">
        <v>35</v>
      </c>
      <c r="AD55" t="s">
        <v>36</v>
      </c>
      <c r="AE55">
        <v>60.030855860749</v>
      </c>
      <c r="AF55" t="s">
        <v>37</v>
      </c>
    </row>
    <row r="56" spans="1:32" x14ac:dyDescent="0.3">
      <c r="A56">
        <v>78</v>
      </c>
      <c r="B56">
        <v>80</v>
      </c>
      <c r="C56">
        <v>162</v>
      </c>
      <c r="D56">
        <v>54</v>
      </c>
      <c r="E56">
        <v>5</v>
      </c>
      <c r="F56">
        <v>7</v>
      </c>
      <c r="G56" t="s">
        <v>38</v>
      </c>
      <c r="H56">
        <v>0.55979400000069202</v>
      </c>
      <c r="I56" t="s">
        <v>33</v>
      </c>
      <c r="J56">
        <v>7</v>
      </c>
      <c r="K56">
        <v>5</v>
      </c>
      <c r="L56">
        <v>54</v>
      </c>
      <c r="M56">
        <v>6</v>
      </c>
      <c r="N56">
        <v>121.34516060000099</v>
      </c>
      <c r="P56">
        <v>121.338213900016</v>
      </c>
      <c r="Q56">
        <v>121.34516060000099</v>
      </c>
      <c r="R56">
        <v>122.32907160001901</v>
      </c>
      <c r="S56">
        <v>122.32907160001901</v>
      </c>
      <c r="T56">
        <v>122.34554710000501</v>
      </c>
      <c r="U56">
        <v>122.896388399996</v>
      </c>
      <c r="V56" t="s">
        <v>38</v>
      </c>
      <c r="W56">
        <v>0.55979400000069202</v>
      </c>
      <c r="X56" t="s">
        <v>33</v>
      </c>
      <c r="Y56">
        <v>1</v>
      </c>
      <c r="Z56">
        <v>1</v>
      </c>
      <c r="AA56" t="s">
        <v>34</v>
      </c>
      <c r="AB56" t="s">
        <v>35</v>
      </c>
      <c r="AD56" t="s">
        <v>36</v>
      </c>
      <c r="AE56">
        <v>60.030855860749</v>
      </c>
      <c r="AF56" t="s">
        <v>37</v>
      </c>
    </row>
    <row r="57" spans="1:32" x14ac:dyDescent="0.3">
      <c r="A57">
        <v>11</v>
      </c>
      <c r="B57">
        <v>30</v>
      </c>
      <c r="C57">
        <v>7</v>
      </c>
      <c r="D57">
        <v>55</v>
      </c>
      <c r="E57">
        <v>6</v>
      </c>
      <c r="F57">
        <v>7</v>
      </c>
      <c r="G57" t="s">
        <v>32</v>
      </c>
      <c r="H57">
        <v>0.57334820000687603</v>
      </c>
      <c r="I57" t="s">
        <v>33</v>
      </c>
      <c r="J57">
        <v>7</v>
      </c>
      <c r="K57">
        <v>6</v>
      </c>
      <c r="L57">
        <v>55</v>
      </c>
      <c r="M57">
        <v>0</v>
      </c>
      <c r="N57">
        <v>122.912374000006</v>
      </c>
      <c r="P57">
        <v>122.90352190000699</v>
      </c>
      <c r="Q57">
        <v>122.912374000006</v>
      </c>
      <c r="R57">
        <v>123.895633800013</v>
      </c>
      <c r="S57">
        <v>123.895633800013</v>
      </c>
      <c r="T57">
        <v>123.91250100001299</v>
      </c>
      <c r="U57">
        <v>124.479680600023</v>
      </c>
      <c r="V57" t="s">
        <v>32</v>
      </c>
      <c r="W57">
        <v>0.57334820000687603</v>
      </c>
      <c r="X57" t="s">
        <v>33</v>
      </c>
      <c r="Y57">
        <v>1</v>
      </c>
      <c r="Z57">
        <v>1</v>
      </c>
      <c r="AA57" t="s">
        <v>34</v>
      </c>
      <c r="AB57" t="s">
        <v>35</v>
      </c>
      <c r="AD57" t="s">
        <v>36</v>
      </c>
      <c r="AE57">
        <v>60.030855860749</v>
      </c>
      <c r="AF57" t="s">
        <v>37</v>
      </c>
    </row>
    <row r="58" spans="1:32" x14ac:dyDescent="0.3">
      <c r="A58">
        <v>40</v>
      </c>
      <c r="B58">
        <v>55</v>
      </c>
      <c r="C58">
        <v>62</v>
      </c>
      <c r="D58">
        <v>56</v>
      </c>
      <c r="E58">
        <v>0</v>
      </c>
      <c r="F58">
        <v>8</v>
      </c>
      <c r="G58" t="s">
        <v>38</v>
      </c>
      <c r="H58">
        <v>0.72637039999244701</v>
      </c>
      <c r="I58" t="s">
        <v>33</v>
      </c>
      <c r="J58">
        <v>8</v>
      </c>
      <c r="K58">
        <v>0</v>
      </c>
      <c r="L58">
        <v>56</v>
      </c>
      <c r="M58">
        <v>3</v>
      </c>
      <c r="N58">
        <v>124.49545240000499</v>
      </c>
      <c r="P58">
        <v>124.486491799994</v>
      </c>
      <c r="Q58">
        <v>124.49545240000499</v>
      </c>
      <c r="R58">
        <v>125.47878850001101</v>
      </c>
      <c r="S58">
        <v>125.47878850001101</v>
      </c>
      <c r="T58">
        <v>125.495548800012</v>
      </c>
      <c r="U58">
        <v>126.21366040001099</v>
      </c>
      <c r="V58" t="s">
        <v>38</v>
      </c>
      <c r="W58">
        <v>0.72637039999244701</v>
      </c>
      <c r="X58" t="s">
        <v>33</v>
      </c>
      <c r="Y58">
        <v>1</v>
      </c>
      <c r="Z58">
        <v>1</v>
      </c>
      <c r="AA58" t="s">
        <v>34</v>
      </c>
      <c r="AB58" t="s">
        <v>35</v>
      </c>
      <c r="AD58" t="s">
        <v>36</v>
      </c>
      <c r="AE58">
        <v>60.030855860749</v>
      </c>
      <c r="AF58" t="s">
        <v>37</v>
      </c>
    </row>
    <row r="59" spans="1:32" x14ac:dyDescent="0.3">
      <c r="A59">
        <v>15</v>
      </c>
      <c r="B59">
        <v>35</v>
      </c>
      <c r="C59">
        <v>13</v>
      </c>
      <c r="D59">
        <v>57</v>
      </c>
      <c r="E59">
        <v>1</v>
      </c>
      <c r="F59">
        <v>8</v>
      </c>
      <c r="G59" t="s">
        <v>32</v>
      </c>
      <c r="H59">
        <v>0.66588519999640905</v>
      </c>
      <c r="I59" t="s">
        <v>33</v>
      </c>
      <c r="J59">
        <v>8</v>
      </c>
      <c r="K59">
        <v>1</v>
      </c>
      <c r="L59">
        <v>57</v>
      </c>
      <c r="M59">
        <v>1</v>
      </c>
      <c r="N59">
        <v>126.22886160001499</v>
      </c>
      <c r="P59">
        <v>126.221023400023</v>
      </c>
      <c r="Q59">
        <v>126.22886160001499</v>
      </c>
      <c r="R59">
        <v>127.22896140001799</v>
      </c>
      <c r="S59">
        <v>127.22896140001799</v>
      </c>
      <c r="T59">
        <v>127.22896140001799</v>
      </c>
      <c r="U59">
        <v>127.896660900005</v>
      </c>
      <c r="V59" t="s">
        <v>32</v>
      </c>
      <c r="W59">
        <v>0.66588519999640905</v>
      </c>
      <c r="X59" t="s">
        <v>33</v>
      </c>
      <c r="Y59">
        <v>1</v>
      </c>
      <c r="Z59">
        <v>1</v>
      </c>
      <c r="AA59" t="s">
        <v>34</v>
      </c>
      <c r="AB59" t="s">
        <v>35</v>
      </c>
      <c r="AD59" t="s">
        <v>36</v>
      </c>
      <c r="AE59">
        <v>60.030855860749</v>
      </c>
      <c r="AF59" t="s">
        <v>37</v>
      </c>
    </row>
    <row r="60" spans="1:32" x14ac:dyDescent="0.3">
      <c r="A60">
        <v>49</v>
      </c>
      <c r="B60">
        <v>60</v>
      </c>
      <c r="C60">
        <v>89</v>
      </c>
      <c r="D60">
        <v>58</v>
      </c>
      <c r="E60">
        <v>2</v>
      </c>
      <c r="F60">
        <v>8</v>
      </c>
      <c r="G60" t="s">
        <v>38</v>
      </c>
      <c r="H60">
        <v>0.68627140001626596</v>
      </c>
      <c r="I60" t="s">
        <v>33</v>
      </c>
      <c r="J60">
        <v>8</v>
      </c>
      <c r="K60">
        <v>2</v>
      </c>
      <c r="L60">
        <v>58</v>
      </c>
      <c r="M60">
        <v>4</v>
      </c>
      <c r="N60">
        <v>127.91241640000899</v>
      </c>
      <c r="P60">
        <v>127.90291800000701</v>
      </c>
      <c r="Q60">
        <v>127.91241640000899</v>
      </c>
      <c r="R60">
        <v>128.89533600001499</v>
      </c>
      <c r="S60">
        <v>128.89533600001499</v>
      </c>
      <c r="T60">
        <v>128.91239589999799</v>
      </c>
      <c r="U60">
        <v>129.59608869999599</v>
      </c>
      <c r="V60" t="s">
        <v>38</v>
      </c>
      <c r="W60">
        <v>0.68627140001626596</v>
      </c>
      <c r="X60" t="s">
        <v>33</v>
      </c>
      <c r="Y60">
        <v>1</v>
      </c>
      <c r="Z60">
        <v>1</v>
      </c>
      <c r="AA60" t="s">
        <v>34</v>
      </c>
      <c r="AB60" t="s">
        <v>35</v>
      </c>
      <c r="AD60" t="s">
        <v>36</v>
      </c>
      <c r="AE60">
        <v>60.030855860749</v>
      </c>
      <c r="AF60" t="s">
        <v>37</v>
      </c>
    </row>
    <row r="61" spans="1:32" x14ac:dyDescent="0.3">
      <c r="A61">
        <v>67</v>
      </c>
      <c r="B61">
        <v>75</v>
      </c>
      <c r="C61">
        <v>119</v>
      </c>
      <c r="D61">
        <v>59</v>
      </c>
      <c r="E61">
        <v>3</v>
      </c>
      <c r="F61">
        <v>8</v>
      </c>
      <c r="G61" t="s">
        <v>38</v>
      </c>
      <c r="H61">
        <v>0.61922920000506498</v>
      </c>
      <c r="I61" t="s">
        <v>33</v>
      </c>
      <c r="J61">
        <v>8</v>
      </c>
      <c r="K61">
        <v>3</v>
      </c>
      <c r="L61">
        <v>59</v>
      </c>
      <c r="M61">
        <v>5</v>
      </c>
      <c r="N61">
        <v>129.612432099995</v>
      </c>
      <c r="P61">
        <v>129.60231489999501</v>
      </c>
      <c r="Q61">
        <v>129.612432099995</v>
      </c>
      <c r="R61">
        <v>130.595867199997</v>
      </c>
      <c r="S61">
        <v>130.595867199997</v>
      </c>
      <c r="T61">
        <v>130.61230810001101</v>
      </c>
      <c r="U61">
        <v>131.229604200023</v>
      </c>
      <c r="V61" t="s">
        <v>38</v>
      </c>
      <c r="W61">
        <v>0.61922920000506498</v>
      </c>
      <c r="X61" t="s">
        <v>33</v>
      </c>
      <c r="Y61">
        <v>1</v>
      </c>
      <c r="Z61">
        <v>1</v>
      </c>
      <c r="AA61" t="s">
        <v>34</v>
      </c>
      <c r="AB61" t="s">
        <v>35</v>
      </c>
      <c r="AD61" t="s">
        <v>36</v>
      </c>
      <c r="AE61">
        <v>60.030855860749</v>
      </c>
      <c r="AF61" t="s">
        <v>37</v>
      </c>
    </row>
    <row r="62" spans="1:32" x14ac:dyDescent="0.3">
      <c r="A62">
        <v>78</v>
      </c>
      <c r="B62">
        <v>80</v>
      </c>
      <c r="C62">
        <v>162</v>
      </c>
      <c r="D62">
        <v>60</v>
      </c>
      <c r="E62">
        <v>4</v>
      </c>
      <c r="F62">
        <v>8</v>
      </c>
      <c r="G62" t="s">
        <v>38</v>
      </c>
      <c r="H62">
        <v>0.43424629999208197</v>
      </c>
      <c r="I62" t="s">
        <v>33</v>
      </c>
      <c r="J62">
        <v>8</v>
      </c>
      <c r="K62">
        <v>4</v>
      </c>
      <c r="L62">
        <v>60</v>
      </c>
      <c r="M62">
        <v>6</v>
      </c>
      <c r="N62">
        <v>131.245526600017</v>
      </c>
      <c r="P62">
        <v>131.23599990000301</v>
      </c>
      <c r="Q62">
        <v>131.245526600017</v>
      </c>
      <c r="R62">
        <v>132.229323700012</v>
      </c>
      <c r="S62">
        <v>132.229323700012</v>
      </c>
      <c r="T62">
        <v>132.24554850000999</v>
      </c>
      <c r="U62">
        <v>132.679189300019</v>
      </c>
      <c r="V62" t="s">
        <v>38</v>
      </c>
      <c r="W62">
        <v>0.43424629999208197</v>
      </c>
      <c r="X62" t="s">
        <v>33</v>
      </c>
      <c r="Y62">
        <v>1</v>
      </c>
      <c r="Z62">
        <v>1</v>
      </c>
      <c r="AA62" t="s">
        <v>34</v>
      </c>
      <c r="AB62" t="s">
        <v>35</v>
      </c>
      <c r="AD62" t="s">
        <v>36</v>
      </c>
      <c r="AE62">
        <v>60.030855860749</v>
      </c>
      <c r="AF62" t="s">
        <v>37</v>
      </c>
    </row>
    <row r="63" spans="1:32" x14ac:dyDescent="0.3">
      <c r="A63">
        <v>27</v>
      </c>
      <c r="B63">
        <v>50</v>
      </c>
      <c r="C63">
        <v>21</v>
      </c>
      <c r="D63">
        <v>61</v>
      </c>
      <c r="E63">
        <v>5</v>
      </c>
      <c r="F63">
        <v>8</v>
      </c>
      <c r="G63" t="s">
        <v>32</v>
      </c>
      <c r="H63">
        <v>0.71403079997980901</v>
      </c>
      <c r="I63" t="s">
        <v>33</v>
      </c>
      <c r="J63">
        <v>8</v>
      </c>
      <c r="K63">
        <v>5</v>
      </c>
      <c r="L63">
        <v>61</v>
      </c>
      <c r="M63">
        <v>2</v>
      </c>
      <c r="N63">
        <v>132.69519440000201</v>
      </c>
      <c r="P63">
        <v>132.684847399999</v>
      </c>
      <c r="Q63">
        <v>132.69519440000201</v>
      </c>
      <c r="R63">
        <v>133.67877230001599</v>
      </c>
      <c r="S63">
        <v>133.67877230001599</v>
      </c>
      <c r="T63">
        <v>133.695631000009</v>
      </c>
      <c r="U63">
        <v>134.39611739999901</v>
      </c>
      <c r="V63" t="s">
        <v>32</v>
      </c>
      <c r="W63">
        <v>0.71403079997980901</v>
      </c>
      <c r="X63" t="s">
        <v>33</v>
      </c>
      <c r="Y63">
        <v>1</v>
      </c>
      <c r="Z63">
        <v>1</v>
      </c>
      <c r="AA63" t="s">
        <v>34</v>
      </c>
      <c r="AB63" t="s">
        <v>35</v>
      </c>
      <c r="AD63" t="s">
        <v>36</v>
      </c>
      <c r="AE63">
        <v>60.030855860749</v>
      </c>
      <c r="AF63" t="s">
        <v>37</v>
      </c>
    </row>
    <row r="64" spans="1:32" x14ac:dyDescent="0.3">
      <c r="A64">
        <v>11</v>
      </c>
      <c r="B64">
        <v>30</v>
      </c>
      <c r="C64">
        <v>7</v>
      </c>
      <c r="D64">
        <v>62</v>
      </c>
      <c r="E64">
        <v>6</v>
      </c>
      <c r="F64">
        <v>8</v>
      </c>
      <c r="G64" t="s">
        <v>32</v>
      </c>
      <c r="H64">
        <v>0.90040300000691698</v>
      </c>
      <c r="I64" t="s">
        <v>33</v>
      </c>
      <c r="J64">
        <v>8</v>
      </c>
      <c r="K64">
        <v>6</v>
      </c>
      <c r="L64">
        <v>62</v>
      </c>
      <c r="M64">
        <v>0</v>
      </c>
      <c r="N64">
        <v>134.412357799999</v>
      </c>
      <c r="P64">
        <v>134.40226540001399</v>
      </c>
      <c r="Q64">
        <v>134.412357799999</v>
      </c>
      <c r="R64">
        <v>135.39649189999901</v>
      </c>
      <c r="S64">
        <v>135.39649189999901</v>
      </c>
      <c r="T64">
        <v>135.41232460000899</v>
      </c>
      <c r="U64">
        <v>136.312936300004</v>
      </c>
      <c r="V64" t="s">
        <v>32</v>
      </c>
      <c r="W64">
        <v>0.90040300000691698</v>
      </c>
      <c r="X64" t="s">
        <v>33</v>
      </c>
      <c r="Y64">
        <v>1</v>
      </c>
      <c r="Z64">
        <v>1</v>
      </c>
      <c r="AA64" t="s">
        <v>34</v>
      </c>
      <c r="AB64" t="s">
        <v>35</v>
      </c>
      <c r="AD64" t="s">
        <v>36</v>
      </c>
      <c r="AE64">
        <v>60.030855860749</v>
      </c>
      <c r="AF64" t="s">
        <v>37</v>
      </c>
    </row>
    <row r="65" spans="1:32" x14ac:dyDescent="0.3">
      <c r="A65">
        <v>15</v>
      </c>
      <c r="B65">
        <v>35</v>
      </c>
      <c r="C65">
        <v>13</v>
      </c>
      <c r="D65">
        <v>63</v>
      </c>
      <c r="E65">
        <v>0</v>
      </c>
      <c r="F65">
        <v>9</v>
      </c>
      <c r="G65" t="s">
        <v>32</v>
      </c>
      <c r="H65">
        <v>0.48256830000900602</v>
      </c>
      <c r="I65" t="s">
        <v>33</v>
      </c>
      <c r="J65">
        <v>9</v>
      </c>
      <c r="K65">
        <v>0</v>
      </c>
      <c r="L65">
        <v>63</v>
      </c>
      <c r="M65">
        <v>1</v>
      </c>
      <c r="N65">
        <v>136.32874310002001</v>
      </c>
      <c r="P65">
        <v>136.319662499998</v>
      </c>
      <c r="Q65">
        <v>136.32874310002001</v>
      </c>
      <c r="R65">
        <v>137.31238790001899</v>
      </c>
      <c r="S65">
        <v>137.31238790001899</v>
      </c>
      <c r="T65">
        <v>137.32879140001</v>
      </c>
      <c r="U65">
        <v>137.79646720000801</v>
      </c>
      <c r="V65" t="s">
        <v>32</v>
      </c>
      <c r="W65">
        <v>0.48256830000900602</v>
      </c>
      <c r="X65" t="s">
        <v>33</v>
      </c>
      <c r="Y65">
        <v>1</v>
      </c>
      <c r="Z65">
        <v>1</v>
      </c>
      <c r="AA65" t="s">
        <v>34</v>
      </c>
      <c r="AB65" t="s">
        <v>35</v>
      </c>
      <c r="AD65" t="s">
        <v>36</v>
      </c>
      <c r="AE65">
        <v>60.030855860749</v>
      </c>
      <c r="AF65" t="s">
        <v>37</v>
      </c>
    </row>
    <row r="66" spans="1:32" x14ac:dyDescent="0.3">
      <c r="A66">
        <v>49</v>
      </c>
      <c r="B66">
        <v>60</v>
      </c>
      <c r="C66">
        <v>89</v>
      </c>
      <c r="D66">
        <v>64</v>
      </c>
      <c r="E66">
        <v>1</v>
      </c>
      <c r="F66">
        <v>9</v>
      </c>
      <c r="G66" t="s">
        <v>38</v>
      </c>
      <c r="H66">
        <v>0.56727999998838596</v>
      </c>
      <c r="I66" t="s">
        <v>33</v>
      </c>
      <c r="J66">
        <v>9</v>
      </c>
      <c r="K66">
        <v>1</v>
      </c>
      <c r="L66">
        <v>64</v>
      </c>
      <c r="M66">
        <v>4</v>
      </c>
      <c r="N66">
        <v>137.81237180001301</v>
      </c>
      <c r="P66">
        <v>137.80381470001799</v>
      </c>
      <c r="Q66">
        <v>137.81237180001301</v>
      </c>
      <c r="R66">
        <v>138.795516400015</v>
      </c>
      <c r="S66">
        <v>138.795516400015</v>
      </c>
      <c r="T66">
        <v>138.812125299999</v>
      </c>
      <c r="U66">
        <v>139.37969990001801</v>
      </c>
      <c r="V66" t="s">
        <v>38</v>
      </c>
      <c r="W66">
        <v>0.56727999998838596</v>
      </c>
      <c r="X66" t="s">
        <v>33</v>
      </c>
      <c r="Y66">
        <v>1</v>
      </c>
      <c r="Z66">
        <v>1</v>
      </c>
      <c r="AA66" t="s">
        <v>34</v>
      </c>
      <c r="AB66" t="s">
        <v>35</v>
      </c>
      <c r="AD66" t="s">
        <v>36</v>
      </c>
      <c r="AE66">
        <v>60.030855860749</v>
      </c>
      <c r="AF66" t="s">
        <v>37</v>
      </c>
    </row>
    <row r="67" spans="1:32" x14ac:dyDescent="0.3">
      <c r="A67">
        <v>40</v>
      </c>
      <c r="B67">
        <v>55</v>
      </c>
      <c r="C67">
        <v>62</v>
      </c>
      <c r="D67">
        <v>65</v>
      </c>
      <c r="E67">
        <v>2</v>
      </c>
      <c r="F67">
        <v>9</v>
      </c>
      <c r="G67" t="s">
        <v>38</v>
      </c>
      <c r="H67">
        <v>0.38242459998582401</v>
      </c>
      <c r="I67" t="s">
        <v>33</v>
      </c>
      <c r="J67">
        <v>9</v>
      </c>
      <c r="K67">
        <v>2</v>
      </c>
      <c r="L67">
        <v>65</v>
      </c>
      <c r="M67">
        <v>3</v>
      </c>
      <c r="N67">
        <v>139.39553790001</v>
      </c>
      <c r="P67">
        <v>139.38665570001399</v>
      </c>
      <c r="Q67">
        <v>139.39553790001</v>
      </c>
      <c r="R67">
        <v>140.37906560002</v>
      </c>
      <c r="S67">
        <v>140.37906560002</v>
      </c>
      <c r="T67">
        <v>140.395522000006</v>
      </c>
      <c r="U67">
        <v>140.762933400023</v>
      </c>
      <c r="V67" t="s">
        <v>38</v>
      </c>
      <c r="W67">
        <v>0.38242459998582401</v>
      </c>
      <c r="X67" t="s">
        <v>33</v>
      </c>
      <c r="Y67">
        <v>1</v>
      </c>
      <c r="Z67">
        <v>1</v>
      </c>
      <c r="AA67" t="s">
        <v>34</v>
      </c>
      <c r="AB67" t="s">
        <v>35</v>
      </c>
      <c r="AD67" t="s">
        <v>36</v>
      </c>
      <c r="AE67">
        <v>60.030855860749</v>
      </c>
      <c r="AF67" t="s">
        <v>37</v>
      </c>
    </row>
    <row r="68" spans="1:32" x14ac:dyDescent="0.3">
      <c r="A68">
        <v>67</v>
      </c>
      <c r="B68">
        <v>75</v>
      </c>
      <c r="C68">
        <v>119</v>
      </c>
      <c r="D68">
        <v>66</v>
      </c>
      <c r="E68">
        <v>3</v>
      </c>
      <c r="F68">
        <v>9</v>
      </c>
      <c r="G68" t="s">
        <v>38</v>
      </c>
      <c r="H68">
        <v>0.39512029997422299</v>
      </c>
      <c r="I68" t="s">
        <v>33</v>
      </c>
      <c r="J68">
        <v>9</v>
      </c>
      <c r="K68">
        <v>3</v>
      </c>
      <c r="L68">
        <v>66</v>
      </c>
      <c r="M68">
        <v>5</v>
      </c>
      <c r="N68">
        <v>140.77889470002199</v>
      </c>
      <c r="P68">
        <v>140.76926980001701</v>
      </c>
      <c r="Q68">
        <v>140.77889470002199</v>
      </c>
      <c r="R68">
        <v>141.76237540002299</v>
      </c>
      <c r="S68">
        <v>141.76237540002299</v>
      </c>
      <c r="T68">
        <v>141.779078699997</v>
      </c>
      <c r="U68">
        <v>142.16269029999901</v>
      </c>
      <c r="V68" t="s">
        <v>38</v>
      </c>
      <c r="W68">
        <v>0.39512029997422299</v>
      </c>
      <c r="X68" t="s">
        <v>33</v>
      </c>
      <c r="Y68">
        <v>1</v>
      </c>
      <c r="Z68">
        <v>1</v>
      </c>
      <c r="AA68" t="s">
        <v>34</v>
      </c>
      <c r="AB68" t="s">
        <v>35</v>
      </c>
      <c r="AD68" t="s">
        <v>36</v>
      </c>
      <c r="AE68">
        <v>60.030855860749</v>
      </c>
      <c r="AF68" t="s">
        <v>37</v>
      </c>
    </row>
    <row r="69" spans="1:32" x14ac:dyDescent="0.3">
      <c r="A69">
        <v>27</v>
      </c>
      <c r="B69">
        <v>50</v>
      </c>
      <c r="C69">
        <v>21</v>
      </c>
      <c r="D69">
        <v>67</v>
      </c>
      <c r="E69">
        <v>4</v>
      </c>
      <c r="F69">
        <v>9</v>
      </c>
      <c r="G69" t="s">
        <v>32</v>
      </c>
      <c r="H69">
        <v>1.26906130000134</v>
      </c>
      <c r="I69" t="s">
        <v>33</v>
      </c>
      <c r="J69">
        <v>9</v>
      </c>
      <c r="K69">
        <v>4</v>
      </c>
      <c r="L69">
        <v>67</v>
      </c>
      <c r="M69">
        <v>2</v>
      </c>
      <c r="N69">
        <v>142.17880350002</v>
      </c>
      <c r="P69">
        <v>142.16917280000001</v>
      </c>
      <c r="Q69">
        <v>142.17880350002</v>
      </c>
      <c r="R69">
        <v>143.16253460000701</v>
      </c>
      <c r="S69">
        <v>143.16253460000701</v>
      </c>
      <c r="T69">
        <v>143.179126400005</v>
      </c>
      <c r="U69">
        <v>144.44612290000001</v>
      </c>
      <c r="V69" t="s">
        <v>32</v>
      </c>
      <c r="W69">
        <v>1.26906130000134</v>
      </c>
      <c r="X69" t="s">
        <v>33</v>
      </c>
      <c r="Y69">
        <v>1</v>
      </c>
      <c r="Z69">
        <v>1</v>
      </c>
      <c r="AA69" t="s">
        <v>34</v>
      </c>
      <c r="AB69" t="s">
        <v>35</v>
      </c>
      <c r="AD69" t="s">
        <v>36</v>
      </c>
      <c r="AE69">
        <v>60.030855860749</v>
      </c>
      <c r="AF69" t="s">
        <v>37</v>
      </c>
    </row>
    <row r="70" spans="1:32" x14ac:dyDescent="0.3">
      <c r="A70">
        <v>78</v>
      </c>
      <c r="B70">
        <v>80</v>
      </c>
      <c r="C70">
        <v>162</v>
      </c>
      <c r="D70">
        <v>68</v>
      </c>
      <c r="E70">
        <v>5</v>
      </c>
      <c r="F70">
        <v>9</v>
      </c>
      <c r="G70" t="s">
        <v>38</v>
      </c>
      <c r="H70">
        <v>0.41761149998637798</v>
      </c>
      <c r="I70" t="s">
        <v>33</v>
      </c>
      <c r="J70">
        <v>9</v>
      </c>
      <c r="K70">
        <v>5</v>
      </c>
      <c r="L70">
        <v>68</v>
      </c>
      <c r="M70">
        <v>6</v>
      </c>
      <c r="N70">
        <v>144.46229680001801</v>
      </c>
      <c r="P70">
        <v>144.45279310000399</v>
      </c>
      <c r="Q70">
        <v>144.46229680001801</v>
      </c>
      <c r="R70">
        <v>145.445912199997</v>
      </c>
      <c r="S70">
        <v>145.445912199997</v>
      </c>
      <c r="T70">
        <v>145.462427999998</v>
      </c>
      <c r="U70">
        <v>145.87978260000801</v>
      </c>
      <c r="V70" t="s">
        <v>38</v>
      </c>
      <c r="W70">
        <v>0.41761149998637798</v>
      </c>
      <c r="X70" t="s">
        <v>33</v>
      </c>
      <c r="Y70">
        <v>1</v>
      </c>
      <c r="Z70">
        <v>1</v>
      </c>
      <c r="AA70" t="s">
        <v>34</v>
      </c>
      <c r="AB70" t="s">
        <v>35</v>
      </c>
      <c r="AD70" t="s">
        <v>36</v>
      </c>
      <c r="AE70">
        <v>60.030855860749</v>
      </c>
      <c r="AF70" t="s">
        <v>37</v>
      </c>
    </row>
    <row r="71" spans="1:32" x14ac:dyDescent="0.3">
      <c r="A71">
        <v>11</v>
      </c>
      <c r="B71">
        <v>30</v>
      </c>
      <c r="C71">
        <v>7</v>
      </c>
      <c r="D71">
        <v>69</v>
      </c>
      <c r="E71">
        <v>6</v>
      </c>
      <c r="F71">
        <v>9</v>
      </c>
      <c r="G71" t="s">
        <v>32</v>
      </c>
      <c r="H71">
        <v>0.58043130001169596</v>
      </c>
      <c r="I71" t="s">
        <v>33</v>
      </c>
      <c r="J71">
        <v>9</v>
      </c>
      <c r="K71">
        <v>6</v>
      </c>
      <c r="L71">
        <v>69</v>
      </c>
      <c r="M71">
        <v>0</v>
      </c>
      <c r="N71">
        <v>145.89551470000799</v>
      </c>
      <c r="P71">
        <v>145.88664270000299</v>
      </c>
      <c r="Q71">
        <v>145.89551470000799</v>
      </c>
      <c r="R71">
        <v>146.89554660001801</v>
      </c>
      <c r="S71">
        <v>146.89554660001801</v>
      </c>
      <c r="T71">
        <v>146.89554660001801</v>
      </c>
      <c r="U71">
        <v>147.479474799998</v>
      </c>
      <c r="V71" t="s">
        <v>32</v>
      </c>
      <c r="W71">
        <v>0.58043130001169596</v>
      </c>
      <c r="X71" t="s">
        <v>33</v>
      </c>
      <c r="Y71">
        <v>1</v>
      </c>
      <c r="Z71">
        <v>1</v>
      </c>
      <c r="AA71" t="s">
        <v>34</v>
      </c>
      <c r="AB71" t="s">
        <v>35</v>
      </c>
      <c r="AD71" t="s">
        <v>36</v>
      </c>
      <c r="AE71">
        <v>60.030855860749</v>
      </c>
      <c r="AF71" t="s">
        <v>37</v>
      </c>
    </row>
    <row r="72" spans="1:32" x14ac:dyDescent="0.3">
      <c r="A72">
        <v>15</v>
      </c>
      <c r="B72">
        <v>35</v>
      </c>
      <c r="C72">
        <v>13</v>
      </c>
      <c r="D72">
        <v>70</v>
      </c>
      <c r="E72">
        <v>0</v>
      </c>
      <c r="F72">
        <v>10</v>
      </c>
      <c r="G72" t="s">
        <v>32</v>
      </c>
      <c r="H72">
        <v>0.495973999990383</v>
      </c>
      <c r="I72" t="s">
        <v>33</v>
      </c>
      <c r="J72">
        <v>10</v>
      </c>
      <c r="K72">
        <v>0</v>
      </c>
      <c r="L72">
        <v>70</v>
      </c>
      <c r="M72">
        <v>1</v>
      </c>
      <c r="N72">
        <v>147.49557620001701</v>
      </c>
      <c r="P72">
        <v>147.48573939999901</v>
      </c>
      <c r="Q72">
        <v>147.49557620001701</v>
      </c>
      <c r="R72">
        <v>148.479487700009</v>
      </c>
      <c r="S72">
        <v>148.479487700009</v>
      </c>
      <c r="T72">
        <v>148.49589069999601</v>
      </c>
      <c r="U72">
        <v>148.97951269999601</v>
      </c>
      <c r="V72" t="s">
        <v>32</v>
      </c>
      <c r="W72">
        <v>0.495973999990383</v>
      </c>
      <c r="X72" t="s">
        <v>33</v>
      </c>
      <c r="Y72">
        <v>1</v>
      </c>
      <c r="Z72">
        <v>1</v>
      </c>
      <c r="AA72" t="s">
        <v>34</v>
      </c>
      <c r="AB72" t="s">
        <v>35</v>
      </c>
      <c r="AD72" t="s">
        <v>36</v>
      </c>
      <c r="AE72">
        <v>60.030855860749</v>
      </c>
      <c r="AF72" t="s">
        <v>37</v>
      </c>
    </row>
    <row r="73" spans="1:32" x14ac:dyDescent="0.3">
      <c r="A73">
        <v>67</v>
      </c>
      <c r="B73">
        <v>75</v>
      </c>
      <c r="C73">
        <v>119</v>
      </c>
      <c r="D73">
        <v>71</v>
      </c>
      <c r="E73">
        <v>1</v>
      </c>
      <c r="F73">
        <v>10</v>
      </c>
      <c r="G73" t="s">
        <v>38</v>
      </c>
      <c r="H73">
        <v>0.50646800000686198</v>
      </c>
      <c r="I73" t="s">
        <v>33</v>
      </c>
      <c r="J73">
        <v>10</v>
      </c>
      <c r="K73">
        <v>1</v>
      </c>
      <c r="L73">
        <v>71</v>
      </c>
      <c r="M73">
        <v>5</v>
      </c>
      <c r="N73">
        <v>148.99546080001099</v>
      </c>
      <c r="P73">
        <v>148.986437700019</v>
      </c>
      <c r="Q73">
        <v>148.99546080001099</v>
      </c>
      <c r="R73">
        <v>149.97867540002301</v>
      </c>
      <c r="S73">
        <v>149.97867540002301</v>
      </c>
      <c r="T73">
        <v>149.99505880000601</v>
      </c>
      <c r="U73">
        <v>150.49641630001099</v>
      </c>
      <c r="V73" t="s">
        <v>38</v>
      </c>
      <c r="W73">
        <v>0.50646800000686198</v>
      </c>
      <c r="X73" t="s">
        <v>33</v>
      </c>
      <c r="Y73">
        <v>1</v>
      </c>
      <c r="Z73">
        <v>1</v>
      </c>
      <c r="AA73" t="s">
        <v>34</v>
      </c>
      <c r="AB73" t="s">
        <v>35</v>
      </c>
      <c r="AD73" t="s">
        <v>36</v>
      </c>
      <c r="AE73">
        <v>60.030855860749</v>
      </c>
      <c r="AF73" t="s">
        <v>37</v>
      </c>
    </row>
    <row r="74" spans="1:32" x14ac:dyDescent="0.3">
      <c r="A74">
        <v>11</v>
      </c>
      <c r="B74">
        <v>30</v>
      </c>
      <c r="C74">
        <v>7</v>
      </c>
      <c r="D74">
        <v>72</v>
      </c>
      <c r="E74">
        <v>2</v>
      </c>
      <c r="F74">
        <v>10</v>
      </c>
      <c r="G74" t="s">
        <v>32</v>
      </c>
      <c r="H74">
        <v>0.687191299977712</v>
      </c>
      <c r="I74" t="s">
        <v>33</v>
      </c>
      <c r="J74">
        <v>10</v>
      </c>
      <c r="K74">
        <v>2</v>
      </c>
      <c r="L74">
        <v>72</v>
      </c>
      <c r="M74">
        <v>0</v>
      </c>
      <c r="N74">
        <v>150.51247640000599</v>
      </c>
      <c r="P74">
        <v>150.502957300021</v>
      </c>
      <c r="Q74">
        <v>150.51247640000599</v>
      </c>
      <c r="R74">
        <v>151.495293100015</v>
      </c>
      <c r="S74">
        <v>151.495293100015</v>
      </c>
      <c r="T74">
        <v>151.51215990001199</v>
      </c>
      <c r="U74">
        <v>152.19584510000999</v>
      </c>
      <c r="V74" t="s">
        <v>32</v>
      </c>
      <c r="W74">
        <v>0.687191299977712</v>
      </c>
      <c r="X74" t="s">
        <v>33</v>
      </c>
      <c r="Y74">
        <v>1</v>
      </c>
      <c r="Z74">
        <v>1</v>
      </c>
      <c r="AA74" t="s">
        <v>34</v>
      </c>
      <c r="AB74" t="s">
        <v>35</v>
      </c>
      <c r="AD74" t="s">
        <v>36</v>
      </c>
      <c r="AE74">
        <v>60.030855860749</v>
      </c>
      <c r="AF74" t="s">
        <v>37</v>
      </c>
    </row>
    <row r="75" spans="1:32" x14ac:dyDescent="0.3">
      <c r="A75">
        <v>40</v>
      </c>
      <c r="B75">
        <v>55</v>
      </c>
      <c r="C75">
        <v>62</v>
      </c>
      <c r="D75">
        <v>73</v>
      </c>
      <c r="E75">
        <v>3</v>
      </c>
      <c r="F75">
        <v>10</v>
      </c>
      <c r="G75" t="s">
        <v>38</v>
      </c>
      <c r="H75">
        <v>0.99940499998047005</v>
      </c>
      <c r="I75" t="s">
        <v>33</v>
      </c>
      <c r="J75">
        <v>10</v>
      </c>
      <c r="K75">
        <v>3</v>
      </c>
      <c r="L75">
        <v>73</v>
      </c>
      <c r="M75">
        <v>3</v>
      </c>
      <c r="N75">
        <v>152.2117441</v>
      </c>
      <c r="P75">
        <v>152.20102950002101</v>
      </c>
      <c r="Q75">
        <v>152.2117441</v>
      </c>
      <c r="R75">
        <v>153.19578570002301</v>
      </c>
      <c r="S75">
        <v>153.19578570002301</v>
      </c>
      <c r="T75">
        <v>153.21257790000499</v>
      </c>
      <c r="U75">
        <v>154.196100000001</v>
      </c>
      <c r="V75" t="s">
        <v>38</v>
      </c>
      <c r="W75">
        <v>0.99940499998047005</v>
      </c>
      <c r="X75" t="s">
        <v>33</v>
      </c>
      <c r="Y75">
        <v>1</v>
      </c>
      <c r="Z75">
        <v>1</v>
      </c>
      <c r="AA75" t="s">
        <v>34</v>
      </c>
      <c r="AB75" t="s">
        <v>35</v>
      </c>
      <c r="AD75" t="s">
        <v>36</v>
      </c>
      <c r="AE75">
        <v>60.030855860749</v>
      </c>
      <c r="AF75" t="s">
        <v>37</v>
      </c>
    </row>
    <row r="76" spans="1:32" x14ac:dyDescent="0.3">
      <c r="A76">
        <v>78</v>
      </c>
      <c r="B76">
        <v>80</v>
      </c>
      <c r="C76">
        <v>162</v>
      </c>
      <c r="D76">
        <v>74</v>
      </c>
      <c r="E76">
        <v>4</v>
      </c>
      <c r="F76">
        <v>10</v>
      </c>
      <c r="G76" t="s">
        <v>38</v>
      </c>
      <c r="H76">
        <v>0.48845279999659302</v>
      </c>
      <c r="I76" t="s">
        <v>33</v>
      </c>
      <c r="J76">
        <v>10</v>
      </c>
      <c r="K76">
        <v>4</v>
      </c>
      <c r="L76">
        <v>74</v>
      </c>
      <c r="M76">
        <v>6</v>
      </c>
      <c r="N76">
        <v>154.21217840001901</v>
      </c>
      <c r="P76">
        <v>154.20216350001201</v>
      </c>
      <c r="Q76">
        <v>154.21217840001901</v>
      </c>
      <c r="R76">
        <v>155.19533090002301</v>
      </c>
      <c r="S76">
        <v>155.19533090002301</v>
      </c>
      <c r="T76">
        <v>155.212542499997</v>
      </c>
      <c r="U76">
        <v>155.69626720002199</v>
      </c>
      <c r="V76" t="s">
        <v>38</v>
      </c>
      <c r="W76">
        <v>0.48845279999659302</v>
      </c>
      <c r="X76" t="s">
        <v>33</v>
      </c>
      <c r="Y76">
        <v>1</v>
      </c>
      <c r="Z76">
        <v>1</v>
      </c>
      <c r="AA76" t="s">
        <v>34</v>
      </c>
      <c r="AB76" t="s">
        <v>35</v>
      </c>
      <c r="AD76" t="s">
        <v>36</v>
      </c>
      <c r="AE76">
        <v>60.030855860749</v>
      </c>
      <c r="AF76" t="s">
        <v>37</v>
      </c>
    </row>
    <row r="77" spans="1:32" x14ac:dyDescent="0.3">
      <c r="A77">
        <v>49</v>
      </c>
      <c r="B77">
        <v>60</v>
      </c>
      <c r="C77">
        <v>89</v>
      </c>
      <c r="D77">
        <v>75</v>
      </c>
      <c r="E77">
        <v>5</v>
      </c>
      <c r="F77">
        <v>10</v>
      </c>
      <c r="G77" t="s">
        <v>38</v>
      </c>
      <c r="H77">
        <v>0.83598650002386399</v>
      </c>
      <c r="I77" t="s">
        <v>33</v>
      </c>
      <c r="J77">
        <v>10</v>
      </c>
      <c r="K77">
        <v>5</v>
      </c>
      <c r="L77">
        <v>75</v>
      </c>
      <c r="M77">
        <v>4</v>
      </c>
      <c r="N77">
        <v>155.712802399997</v>
      </c>
      <c r="P77">
        <v>155.703000500012</v>
      </c>
      <c r="Q77">
        <v>155.712802399997</v>
      </c>
      <c r="R77">
        <v>156.695276300015</v>
      </c>
      <c r="S77">
        <v>156.695276300015</v>
      </c>
      <c r="T77">
        <v>156.712228600023</v>
      </c>
      <c r="U77">
        <v>157.54597340000299</v>
      </c>
      <c r="V77" t="s">
        <v>38</v>
      </c>
      <c r="W77">
        <v>0.83598650002386399</v>
      </c>
      <c r="X77" t="s">
        <v>33</v>
      </c>
      <c r="Y77">
        <v>1</v>
      </c>
      <c r="Z77">
        <v>1</v>
      </c>
      <c r="AA77" t="s">
        <v>34</v>
      </c>
      <c r="AB77" t="s">
        <v>35</v>
      </c>
      <c r="AD77" t="s">
        <v>36</v>
      </c>
      <c r="AE77">
        <v>60.030855860749</v>
      </c>
      <c r="AF77" t="s">
        <v>37</v>
      </c>
    </row>
    <row r="78" spans="1:32" x14ac:dyDescent="0.3">
      <c r="A78">
        <v>27</v>
      </c>
      <c r="B78">
        <v>50</v>
      </c>
      <c r="C78">
        <v>21</v>
      </c>
      <c r="D78">
        <v>76</v>
      </c>
      <c r="E78">
        <v>6</v>
      </c>
      <c r="F78">
        <v>10</v>
      </c>
      <c r="G78" t="s">
        <v>38</v>
      </c>
      <c r="H78">
        <v>2.78254449999076</v>
      </c>
      <c r="I78" t="s">
        <v>33</v>
      </c>
      <c r="J78">
        <v>10</v>
      </c>
      <c r="K78">
        <v>6</v>
      </c>
      <c r="L78">
        <v>76</v>
      </c>
      <c r="M78">
        <v>2</v>
      </c>
      <c r="N78">
        <v>157.562059000018</v>
      </c>
      <c r="P78">
        <v>157.55290310000399</v>
      </c>
      <c r="Q78">
        <v>157.562059000018</v>
      </c>
      <c r="R78">
        <v>158.54556410000001</v>
      </c>
      <c r="S78">
        <v>158.54556410000001</v>
      </c>
      <c r="T78">
        <v>158.56229550001399</v>
      </c>
      <c r="U78">
        <v>161.32950620001</v>
      </c>
      <c r="V78" t="s">
        <v>38</v>
      </c>
      <c r="W78">
        <v>2.78254449999076</v>
      </c>
      <c r="X78" t="s">
        <v>33</v>
      </c>
      <c r="Y78">
        <v>1</v>
      </c>
      <c r="Z78">
        <v>1</v>
      </c>
      <c r="AA78" t="s">
        <v>34</v>
      </c>
      <c r="AB78" t="s">
        <v>35</v>
      </c>
      <c r="AD78" t="s">
        <v>36</v>
      </c>
      <c r="AE78">
        <v>60.030855860749</v>
      </c>
      <c r="AF78" t="s">
        <v>37</v>
      </c>
    </row>
    <row r="79" spans="1:32" x14ac:dyDescent="0.3">
      <c r="A79">
        <v>15</v>
      </c>
      <c r="B79">
        <v>35</v>
      </c>
      <c r="C79">
        <v>13</v>
      </c>
      <c r="D79">
        <v>77</v>
      </c>
      <c r="E79">
        <v>0</v>
      </c>
      <c r="F79">
        <v>11</v>
      </c>
      <c r="G79" t="s">
        <v>38</v>
      </c>
      <c r="H79">
        <v>0.67702389997430101</v>
      </c>
      <c r="I79" t="s">
        <v>33</v>
      </c>
      <c r="J79">
        <v>11</v>
      </c>
      <c r="K79">
        <v>0</v>
      </c>
      <c r="L79">
        <v>77</v>
      </c>
      <c r="M79">
        <v>1</v>
      </c>
      <c r="N79">
        <v>161.34559350000899</v>
      </c>
      <c r="P79">
        <v>161.3369505</v>
      </c>
      <c r="Q79">
        <v>161.34559350000899</v>
      </c>
      <c r="R79">
        <v>162.32901650000699</v>
      </c>
      <c r="S79">
        <v>162.32901650000699</v>
      </c>
      <c r="T79">
        <v>162.345445600018</v>
      </c>
      <c r="U79">
        <v>163.01298610001601</v>
      </c>
      <c r="V79" t="s">
        <v>38</v>
      </c>
      <c r="W79">
        <v>0.67702389997430101</v>
      </c>
      <c r="X79" t="s">
        <v>33</v>
      </c>
      <c r="Y79">
        <v>1</v>
      </c>
      <c r="Z79">
        <v>1</v>
      </c>
      <c r="AA79" t="s">
        <v>34</v>
      </c>
      <c r="AB79" t="s">
        <v>35</v>
      </c>
      <c r="AD79" t="s">
        <v>36</v>
      </c>
      <c r="AE79">
        <v>60.030855860749</v>
      </c>
      <c r="AF79" t="s">
        <v>37</v>
      </c>
    </row>
    <row r="80" spans="1:32" x14ac:dyDescent="0.3">
      <c r="A80">
        <v>49</v>
      </c>
      <c r="B80">
        <v>60</v>
      </c>
      <c r="C80">
        <v>89</v>
      </c>
      <c r="D80">
        <v>78</v>
      </c>
      <c r="E80">
        <v>1</v>
      </c>
      <c r="F80">
        <v>11</v>
      </c>
      <c r="G80" t="s">
        <v>38</v>
      </c>
      <c r="H80">
        <v>0.93450219999067397</v>
      </c>
      <c r="I80" t="s">
        <v>33</v>
      </c>
      <c r="J80">
        <v>11</v>
      </c>
      <c r="K80">
        <v>1</v>
      </c>
      <c r="L80">
        <v>78</v>
      </c>
      <c r="M80">
        <v>4</v>
      </c>
      <c r="N80">
        <v>163.02896409999801</v>
      </c>
      <c r="P80">
        <v>163.01932310001499</v>
      </c>
      <c r="Q80">
        <v>163.02896409999801</v>
      </c>
      <c r="R80">
        <v>164.02896809999899</v>
      </c>
      <c r="S80">
        <v>164.02896809999899</v>
      </c>
      <c r="T80">
        <v>164.02896809999899</v>
      </c>
      <c r="U80">
        <v>164.97941020000101</v>
      </c>
      <c r="V80" t="s">
        <v>38</v>
      </c>
      <c r="W80">
        <v>0.93450219999067397</v>
      </c>
      <c r="X80" t="s">
        <v>33</v>
      </c>
      <c r="Y80">
        <v>1</v>
      </c>
      <c r="Z80">
        <v>1</v>
      </c>
      <c r="AA80" t="s">
        <v>34</v>
      </c>
      <c r="AB80" t="s">
        <v>35</v>
      </c>
      <c r="AD80" t="s">
        <v>36</v>
      </c>
      <c r="AE80">
        <v>60.030855860749</v>
      </c>
      <c r="AF80" t="s">
        <v>37</v>
      </c>
    </row>
    <row r="81" spans="1:32" x14ac:dyDescent="0.3">
      <c r="A81">
        <v>78</v>
      </c>
      <c r="B81">
        <v>80</v>
      </c>
      <c r="C81">
        <v>162</v>
      </c>
      <c r="D81">
        <v>79</v>
      </c>
      <c r="E81">
        <v>2</v>
      </c>
      <c r="F81">
        <v>11</v>
      </c>
      <c r="G81" t="s">
        <v>38</v>
      </c>
      <c r="H81">
        <v>0.39560560000245398</v>
      </c>
      <c r="I81" t="s">
        <v>33</v>
      </c>
      <c r="J81">
        <v>11</v>
      </c>
      <c r="K81">
        <v>2</v>
      </c>
      <c r="L81">
        <v>79</v>
      </c>
      <c r="M81">
        <v>6</v>
      </c>
      <c r="N81">
        <v>164.99510940001301</v>
      </c>
      <c r="P81">
        <v>164.98951430001699</v>
      </c>
      <c r="Q81">
        <v>164.99510940001301</v>
      </c>
      <c r="R81">
        <v>165.97899610002</v>
      </c>
      <c r="S81">
        <v>165.97899610002</v>
      </c>
      <c r="T81">
        <v>165.99557450000401</v>
      </c>
      <c r="U81">
        <v>166.379476300004</v>
      </c>
      <c r="V81" t="s">
        <v>38</v>
      </c>
      <c r="W81">
        <v>0.39560560000245398</v>
      </c>
      <c r="X81" t="s">
        <v>33</v>
      </c>
      <c r="Y81">
        <v>1</v>
      </c>
      <c r="Z81">
        <v>1</v>
      </c>
      <c r="AA81" t="s">
        <v>34</v>
      </c>
      <c r="AB81" t="s">
        <v>35</v>
      </c>
      <c r="AD81" t="s">
        <v>36</v>
      </c>
      <c r="AE81">
        <v>60.030855860749</v>
      </c>
      <c r="AF81" t="s">
        <v>37</v>
      </c>
    </row>
    <row r="82" spans="1:32" x14ac:dyDescent="0.3">
      <c r="A82">
        <v>40</v>
      </c>
      <c r="B82">
        <v>55</v>
      </c>
      <c r="C82">
        <v>62</v>
      </c>
      <c r="D82">
        <v>80</v>
      </c>
      <c r="E82">
        <v>3</v>
      </c>
      <c r="F82">
        <v>11</v>
      </c>
      <c r="G82" t="s">
        <v>38</v>
      </c>
      <c r="H82">
        <v>0.60478819999843803</v>
      </c>
      <c r="I82" t="s">
        <v>33</v>
      </c>
      <c r="J82">
        <v>11</v>
      </c>
      <c r="K82">
        <v>3</v>
      </c>
      <c r="L82">
        <v>80</v>
      </c>
      <c r="M82">
        <v>3</v>
      </c>
      <c r="N82">
        <v>166.39552730001699</v>
      </c>
      <c r="P82">
        <v>166.385765600018</v>
      </c>
      <c r="Q82">
        <v>166.39552730001699</v>
      </c>
      <c r="R82">
        <v>167.39545130002</v>
      </c>
      <c r="S82">
        <v>167.39545130002</v>
      </c>
      <c r="T82">
        <v>167.39545130002</v>
      </c>
      <c r="U82">
        <v>168.01299170000101</v>
      </c>
      <c r="V82" t="s">
        <v>38</v>
      </c>
      <c r="W82">
        <v>0.60478819999843803</v>
      </c>
      <c r="X82" t="s">
        <v>33</v>
      </c>
      <c r="Y82">
        <v>1</v>
      </c>
      <c r="Z82">
        <v>1</v>
      </c>
      <c r="AA82" t="s">
        <v>34</v>
      </c>
      <c r="AB82" t="s">
        <v>35</v>
      </c>
      <c r="AD82" t="s">
        <v>36</v>
      </c>
      <c r="AE82">
        <v>60.030855860749</v>
      </c>
      <c r="AF82" t="s">
        <v>37</v>
      </c>
    </row>
    <row r="83" spans="1:32" x14ac:dyDescent="0.3">
      <c r="A83">
        <v>67</v>
      </c>
      <c r="B83">
        <v>75</v>
      </c>
      <c r="C83">
        <v>119</v>
      </c>
      <c r="D83">
        <v>81</v>
      </c>
      <c r="E83">
        <v>4</v>
      </c>
      <c r="F83">
        <v>11</v>
      </c>
      <c r="G83" t="s">
        <v>38</v>
      </c>
      <c r="H83">
        <v>8.24319040001137</v>
      </c>
      <c r="I83" t="s">
        <v>33</v>
      </c>
      <c r="J83">
        <v>11</v>
      </c>
      <c r="K83">
        <v>4</v>
      </c>
      <c r="L83">
        <v>81</v>
      </c>
      <c r="M83">
        <v>5</v>
      </c>
      <c r="N83">
        <v>168.028882600017</v>
      </c>
      <c r="P83">
        <v>168.02017390000401</v>
      </c>
      <c r="Q83">
        <v>168.028882600017</v>
      </c>
      <c r="R83">
        <v>169.01241500000401</v>
      </c>
      <c r="S83">
        <v>169.01241500000401</v>
      </c>
      <c r="T83">
        <v>169.029062400019</v>
      </c>
      <c r="U83">
        <v>177.26270469999801</v>
      </c>
      <c r="V83" t="s">
        <v>38</v>
      </c>
      <c r="W83">
        <v>8.24319040001137</v>
      </c>
      <c r="X83" t="s">
        <v>33</v>
      </c>
      <c r="Y83">
        <v>1</v>
      </c>
      <c r="Z83">
        <v>1</v>
      </c>
      <c r="AA83" t="s">
        <v>34</v>
      </c>
      <c r="AB83" t="s">
        <v>35</v>
      </c>
      <c r="AD83" t="s">
        <v>36</v>
      </c>
      <c r="AE83">
        <v>60.030855860749</v>
      </c>
      <c r="AF83" t="s">
        <v>37</v>
      </c>
    </row>
    <row r="84" spans="1:32" x14ac:dyDescent="0.3">
      <c r="A84">
        <v>27</v>
      </c>
      <c r="B84">
        <v>50</v>
      </c>
      <c r="C84">
        <v>21</v>
      </c>
      <c r="D84">
        <v>82</v>
      </c>
      <c r="E84">
        <v>5</v>
      </c>
      <c r="F84">
        <v>11</v>
      </c>
      <c r="G84" t="s">
        <v>32</v>
      </c>
      <c r="H84">
        <v>0.69509239998296801</v>
      </c>
      <c r="I84" t="s">
        <v>33</v>
      </c>
      <c r="J84">
        <v>11</v>
      </c>
      <c r="K84">
        <v>5</v>
      </c>
      <c r="L84">
        <v>82</v>
      </c>
      <c r="M84">
        <v>2</v>
      </c>
      <c r="N84">
        <v>177.27894780001901</v>
      </c>
      <c r="P84">
        <v>177.26889390000699</v>
      </c>
      <c r="Q84">
        <v>177.27894780001901</v>
      </c>
      <c r="R84">
        <v>178.26180690000101</v>
      </c>
      <c r="S84">
        <v>178.26180690000101</v>
      </c>
      <c r="T84">
        <v>178.27870150000601</v>
      </c>
      <c r="U84">
        <v>178.962783599999</v>
      </c>
      <c r="V84" t="s">
        <v>32</v>
      </c>
      <c r="W84">
        <v>0.69509239998296801</v>
      </c>
      <c r="X84" t="s">
        <v>33</v>
      </c>
      <c r="Y84">
        <v>1</v>
      </c>
      <c r="Z84">
        <v>1</v>
      </c>
      <c r="AA84" t="s">
        <v>34</v>
      </c>
      <c r="AB84" t="s">
        <v>35</v>
      </c>
      <c r="AD84" t="s">
        <v>36</v>
      </c>
      <c r="AE84">
        <v>60.030855860749</v>
      </c>
      <c r="AF84" t="s">
        <v>37</v>
      </c>
    </row>
    <row r="85" spans="1:32" x14ac:dyDescent="0.3">
      <c r="A85">
        <v>11</v>
      </c>
      <c r="B85">
        <v>30</v>
      </c>
      <c r="C85">
        <v>7</v>
      </c>
      <c r="D85">
        <v>83</v>
      </c>
      <c r="E85">
        <v>6</v>
      </c>
      <c r="F85">
        <v>11</v>
      </c>
      <c r="G85" t="s">
        <v>32</v>
      </c>
      <c r="H85">
        <v>0.66562780001549904</v>
      </c>
      <c r="I85" t="s">
        <v>33</v>
      </c>
      <c r="J85">
        <v>11</v>
      </c>
      <c r="K85">
        <v>6</v>
      </c>
      <c r="L85">
        <v>83</v>
      </c>
      <c r="M85">
        <v>0</v>
      </c>
      <c r="N85">
        <v>178.97877040001899</v>
      </c>
      <c r="P85">
        <v>178.96960969999699</v>
      </c>
      <c r="Q85">
        <v>178.97877040001899</v>
      </c>
      <c r="R85">
        <v>179.96262279999701</v>
      </c>
      <c r="S85">
        <v>179.96262279999701</v>
      </c>
      <c r="T85">
        <v>179.97907660002201</v>
      </c>
      <c r="U85">
        <v>180.62967019999601</v>
      </c>
      <c r="V85" t="s">
        <v>32</v>
      </c>
      <c r="W85">
        <v>0.66562780001549904</v>
      </c>
      <c r="X85" t="s">
        <v>33</v>
      </c>
      <c r="Y85">
        <v>1</v>
      </c>
      <c r="Z85">
        <v>1</v>
      </c>
      <c r="AA85" t="s">
        <v>34</v>
      </c>
      <c r="AB85" t="s">
        <v>35</v>
      </c>
      <c r="AD85" t="s">
        <v>36</v>
      </c>
      <c r="AE85">
        <v>60.030855860749</v>
      </c>
      <c r="AF85" t="s">
        <v>37</v>
      </c>
    </row>
    <row r="86" spans="1:32" x14ac:dyDescent="0.3">
      <c r="A86">
        <v>40</v>
      </c>
      <c r="B86">
        <v>55</v>
      </c>
      <c r="C86">
        <v>62</v>
      </c>
      <c r="D86">
        <v>84</v>
      </c>
      <c r="E86">
        <v>0</v>
      </c>
      <c r="F86">
        <v>12</v>
      </c>
      <c r="G86" t="s">
        <v>38</v>
      </c>
      <c r="H86">
        <v>0.61618099999031894</v>
      </c>
      <c r="I86" t="s">
        <v>33</v>
      </c>
      <c r="J86">
        <v>12</v>
      </c>
      <c r="K86">
        <v>0</v>
      </c>
      <c r="L86">
        <v>84</v>
      </c>
      <c r="M86">
        <v>3</v>
      </c>
      <c r="N86">
        <v>180.645387800002</v>
      </c>
      <c r="P86">
        <v>180.63559980000699</v>
      </c>
      <c r="Q86">
        <v>180.645387800002</v>
      </c>
      <c r="R86">
        <v>181.62873980001299</v>
      </c>
      <c r="S86">
        <v>181.62873980001299</v>
      </c>
      <c r="T86">
        <v>181.645536399999</v>
      </c>
      <c r="U86">
        <v>182.246385900012</v>
      </c>
      <c r="V86" t="s">
        <v>38</v>
      </c>
      <c r="W86">
        <v>0.61618099999031894</v>
      </c>
      <c r="X86" t="s">
        <v>33</v>
      </c>
      <c r="Y86">
        <v>1</v>
      </c>
      <c r="Z86">
        <v>1</v>
      </c>
      <c r="AA86" t="s">
        <v>34</v>
      </c>
      <c r="AB86" t="s">
        <v>35</v>
      </c>
      <c r="AD86" t="s">
        <v>36</v>
      </c>
      <c r="AE86">
        <v>60.030855860749</v>
      </c>
      <c r="AF86" t="s">
        <v>37</v>
      </c>
    </row>
    <row r="87" spans="1:32" x14ac:dyDescent="0.3">
      <c r="A87">
        <v>27</v>
      </c>
      <c r="B87">
        <v>50</v>
      </c>
      <c r="C87">
        <v>21</v>
      </c>
      <c r="D87">
        <v>85</v>
      </c>
      <c r="E87">
        <v>1</v>
      </c>
      <c r="F87">
        <v>12</v>
      </c>
      <c r="G87" t="s">
        <v>32</v>
      </c>
      <c r="H87">
        <v>0.523768500017467</v>
      </c>
      <c r="I87" t="s">
        <v>33</v>
      </c>
      <c r="J87">
        <v>12</v>
      </c>
      <c r="K87">
        <v>1</v>
      </c>
      <c r="L87">
        <v>85</v>
      </c>
      <c r="M87">
        <v>2</v>
      </c>
      <c r="N87">
        <v>182.262068300013</v>
      </c>
      <c r="P87">
        <v>182.25364720000599</v>
      </c>
      <c r="Q87">
        <v>182.262068300013</v>
      </c>
      <c r="R87">
        <v>183.245693600008</v>
      </c>
      <c r="S87">
        <v>183.245693600008</v>
      </c>
      <c r="T87">
        <v>183.26224810001401</v>
      </c>
      <c r="U87">
        <v>183.779464899998</v>
      </c>
      <c r="V87" t="s">
        <v>32</v>
      </c>
      <c r="W87">
        <v>0.523768500017467</v>
      </c>
      <c r="X87" t="s">
        <v>33</v>
      </c>
      <c r="Y87">
        <v>1</v>
      </c>
      <c r="Z87">
        <v>1</v>
      </c>
      <c r="AA87" t="s">
        <v>34</v>
      </c>
      <c r="AB87" t="s">
        <v>35</v>
      </c>
      <c r="AD87" t="s">
        <v>36</v>
      </c>
      <c r="AE87">
        <v>60.030855860749</v>
      </c>
      <c r="AF87" t="s">
        <v>37</v>
      </c>
    </row>
    <row r="88" spans="1:32" x14ac:dyDescent="0.3">
      <c r="A88">
        <v>11</v>
      </c>
      <c r="B88">
        <v>30</v>
      </c>
      <c r="C88">
        <v>7</v>
      </c>
      <c r="D88">
        <v>86</v>
      </c>
      <c r="E88">
        <v>2</v>
      </c>
      <c r="F88">
        <v>12</v>
      </c>
      <c r="G88" t="s">
        <v>32</v>
      </c>
      <c r="H88">
        <v>1.6776254000142199</v>
      </c>
      <c r="I88" t="s">
        <v>33</v>
      </c>
      <c r="J88">
        <v>12</v>
      </c>
      <c r="K88">
        <v>2</v>
      </c>
      <c r="L88">
        <v>86</v>
      </c>
      <c r="M88">
        <v>0</v>
      </c>
      <c r="N88">
        <v>183.79548890001001</v>
      </c>
      <c r="P88">
        <v>183.78558310001901</v>
      </c>
      <c r="Q88">
        <v>183.79548890001001</v>
      </c>
      <c r="R88">
        <v>184.778955800022</v>
      </c>
      <c r="S88">
        <v>184.778955800022</v>
      </c>
      <c r="T88">
        <v>184.79554250000999</v>
      </c>
      <c r="U88">
        <v>186.46296309999801</v>
      </c>
      <c r="V88" t="s">
        <v>32</v>
      </c>
      <c r="W88">
        <v>1.6776254000142199</v>
      </c>
      <c r="X88" t="s">
        <v>33</v>
      </c>
      <c r="Y88">
        <v>1</v>
      </c>
      <c r="Z88">
        <v>1</v>
      </c>
      <c r="AA88" t="s">
        <v>34</v>
      </c>
      <c r="AB88" t="s">
        <v>35</v>
      </c>
      <c r="AD88" t="s">
        <v>36</v>
      </c>
      <c r="AE88">
        <v>60.030855860749</v>
      </c>
      <c r="AF88" t="s">
        <v>37</v>
      </c>
    </row>
    <row r="89" spans="1:32" x14ac:dyDescent="0.3">
      <c r="A89">
        <v>15</v>
      </c>
      <c r="B89">
        <v>35</v>
      </c>
      <c r="C89">
        <v>13</v>
      </c>
      <c r="D89">
        <v>87</v>
      </c>
      <c r="E89">
        <v>3</v>
      </c>
      <c r="F89">
        <v>12</v>
      </c>
      <c r="G89" t="s">
        <v>32</v>
      </c>
      <c r="H89">
        <v>0.59890680000535201</v>
      </c>
      <c r="I89" t="s">
        <v>33</v>
      </c>
      <c r="J89">
        <v>12</v>
      </c>
      <c r="K89">
        <v>3</v>
      </c>
      <c r="L89">
        <v>87</v>
      </c>
      <c r="M89">
        <v>1</v>
      </c>
      <c r="N89">
        <v>186.47867959999701</v>
      </c>
      <c r="P89">
        <v>186.47023060001001</v>
      </c>
      <c r="Q89">
        <v>186.47867959999701</v>
      </c>
      <c r="R89">
        <v>187.462248700001</v>
      </c>
      <c r="S89">
        <v>187.462248700001</v>
      </c>
      <c r="T89">
        <v>187.47899560001599</v>
      </c>
      <c r="U89">
        <v>188.06278710000299</v>
      </c>
      <c r="V89" t="s">
        <v>32</v>
      </c>
      <c r="W89">
        <v>0.59890680000535201</v>
      </c>
      <c r="X89" t="s">
        <v>33</v>
      </c>
      <c r="Y89">
        <v>1</v>
      </c>
      <c r="Z89">
        <v>1</v>
      </c>
      <c r="AA89" t="s">
        <v>34</v>
      </c>
      <c r="AB89" t="s">
        <v>35</v>
      </c>
      <c r="AD89" t="s">
        <v>36</v>
      </c>
      <c r="AE89">
        <v>60.030855860749</v>
      </c>
      <c r="AF89" t="s">
        <v>37</v>
      </c>
    </row>
    <row r="90" spans="1:32" x14ac:dyDescent="0.3">
      <c r="A90">
        <v>49</v>
      </c>
      <c r="B90">
        <v>60</v>
      </c>
      <c r="C90">
        <v>89</v>
      </c>
      <c r="D90">
        <v>88</v>
      </c>
      <c r="E90">
        <v>4</v>
      </c>
      <c r="F90">
        <v>12</v>
      </c>
      <c r="G90" t="s">
        <v>38</v>
      </c>
      <c r="H90">
        <v>0.72593079999205601</v>
      </c>
      <c r="I90" t="s">
        <v>33</v>
      </c>
      <c r="J90">
        <v>12</v>
      </c>
      <c r="K90">
        <v>4</v>
      </c>
      <c r="L90">
        <v>88</v>
      </c>
      <c r="M90">
        <v>4</v>
      </c>
      <c r="N90">
        <v>188.07922230000199</v>
      </c>
      <c r="P90">
        <v>188.06897590000801</v>
      </c>
      <c r="Q90">
        <v>188.07922230000199</v>
      </c>
      <c r="R90">
        <v>189.06234640002299</v>
      </c>
      <c r="S90">
        <v>189.06234640002299</v>
      </c>
      <c r="T90">
        <v>189.07896969999999</v>
      </c>
      <c r="U90">
        <v>189.79619630001201</v>
      </c>
      <c r="V90" t="s">
        <v>38</v>
      </c>
      <c r="W90">
        <v>0.72593079999205601</v>
      </c>
      <c r="X90" t="s">
        <v>33</v>
      </c>
      <c r="Y90">
        <v>1</v>
      </c>
      <c r="Z90">
        <v>1</v>
      </c>
      <c r="AA90" t="s">
        <v>34</v>
      </c>
      <c r="AB90" t="s">
        <v>35</v>
      </c>
      <c r="AD90" t="s">
        <v>36</v>
      </c>
      <c r="AE90">
        <v>60.030855860749</v>
      </c>
      <c r="AF90" t="s">
        <v>37</v>
      </c>
    </row>
    <row r="91" spans="1:32" x14ac:dyDescent="0.3">
      <c r="A91">
        <v>67</v>
      </c>
      <c r="B91">
        <v>75</v>
      </c>
      <c r="C91">
        <v>119</v>
      </c>
      <c r="D91">
        <v>89</v>
      </c>
      <c r="E91">
        <v>5</v>
      </c>
      <c r="F91">
        <v>12</v>
      </c>
      <c r="G91" t="s">
        <v>38</v>
      </c>
      <c r="H91">
        <v>0.78566659998614297</v>
      </c>
      <c r="I91" t="s">
        <v>33</v>
      </c>
      <c r="J91">
        <v>12</v>
      </c>
      <c r="K91">
        <v>5</v>
      </c>
      <c r="L91">
        <v>89</v>
      </c>
      <c r="M91">
        <v>5</v>
      </c>
      <c r="N91">
        <v>189.812230600015</v>
      </c>
      <c r="P91">
        <v>189.80353730000201</v>
      </c>
      <c r="Q91">
        <v>189.812230600015</v>
      </c>
      <c r="R91">
        <v>190.795149300014</v>
      </c>
      <c r="S91">
        <v>190.795149300014</v>
      </c>
      <c r="T91">
        <v>190.81194590000001</v>
      </c>
      <c r="U91">
        <v>191.59650919999601</v>
      </c>
      <c r="V91" t="s">
        <v>38</v>
      </c>
      <c r="W91">
        <v>0.78566659998614297</v>
      </c>
      <c r="X91" t="s">
        <v>33</v>
      </c>
      <c r="Y91">
        <v>1</v>
      </c>
      <c r="Z91">
        <v>1</v>
      </c>
      <c r="AA91" t="s">
        <v>34</v>
      </c>
      <c r="AB91" t="s">
        <v>35</v>
      </c>
      <c r="AD91" t="s">
        <v>36</v>
      </c>
      <c r="AE91">
        <v>60.030855860749</v>
      </c>
      <c r="AF91" t="s">
        <v>37</v>
      </c>
    </row>
    <row r="92" spans="1:32" x14ac:dyDescent="0.3">
      <c r="A92">
        <v>78</v>
      </c>
      <c r="B92">
        <v>80</v>
      </c>
      <c r="C92">
        <v>162</v>
      </c>
      <c r="D92">
        <v>90</v>
      </c>
      <c r="E92">
        <v>6</v>
      </c>
      <c r="F92">
        <v>12</v>
      </c>
      <c r="G92" t="s">
        <v>38</v>
      </c>
      <c r="H92">
        <v>0.60950550000416104</v>
      </c>
      <c r="I92" t="s">
        <v>33</v>
      </c>
      <c r="J92">
        <v>12</v>
      </c>
      <c r="K92">
        <v>6</v>
      </c>
      <c r="L92">
        <v>90</v>
      </c>
      <c r="M92">
        <v>6</v>
      </c>
      <c r="N92">
        <v>191.61249590001501</v>
      </c>
      <c r="P92">
        <v>191.602531000011</v>
      </c>
      <c r="Q92">
        <v>191.61249590001501</v>
      </c>
      <c r="R92">
        <v>192.59544570001799</v>
      </c>
      <c r="S92">
        <v>192.59544570001799</v>
      </c>
      <c r="T92">
        <v>192.61206579999899</v>
      </c>
      <c r="U92">
        <v>193.212995500012</v>
      </c>
      <c r="V92" t="s">
        <v>38</v>
      </c>
      <c r="W92">
        <v>0.60950550000416104</v>
      </c>
      <c r="X92" t="s">
        <v>33</v>
      </c>
      <c r="Y92">
        <v>1</v>
      </c>
      <c r="Z92">
        <v>1</v>
      </c>
      <c r="AA92" t="s">
        <v>34</v>
      </c>
      <c r="AB92" t="s">
        <v>35</v>
      </c>
      <c r="AD92" t="s">
        <v>36</v>
      </c>
      <c r="AE92">
        <v>60.030855860749</v>
      </c>
      <c r="AF92" t="s">
        <v>37</v>
      </c>
    </row>
    <row r="93" spans="1:32" x14ac:dyDescent="0.3">
      <c r="A93">
        <v>11</v>
      </c>
      <c r="B93">
        <v>30</v>
      </c>
      <c r="C93">
        <v>7</v>
      </c>
      <c r="D93">
        <v>91</v>
      </c>
      <c r="E93">
        <v>0</v>
      </c>
      <c r="F93">
        <v>13</v>
      </c>
      <c r="G93" t="s">
        <v>32</v>
      </c>
      <c r="H93">
        <v>0.60105200001271397</v>
      </c>
      <c r="I93" t="s">
        <v>33</v>
      </c>
      <c r="J93">
        <v>13</v>
      </c>
      <c r="K93">
        <v>0</v>
      </c>
      <c r="L93">
        <v>91</v>
      </c>
      <c r="M93">
        <v>0</v>
      </c>
      <c r="N93">
        <v>193.22896970002299</v>
      </c>
      <c r="P93">
        <v>193.22023649999699</v>
      </c>
      <c r="Q93">
        <v>193.22896970002299</v>
      </c>
      <c r="R93">
        <v>194.212291600008</v>
      </c>
      <c r="S93">
        <v>194.212291600008</v>
      </c>
      <c r="T93">
        <v>194.22883970002201</v>
      </c>
      <c r="U93">
        <v>194.82958770002</v>
      </c>
      <c r="V93" t="s">
        <v>32</v>
      </c>
      <c r="W93">
        <v>0.60105200001271397</v>
      </c>
      <c r="X93" t="s">
        <v>33</v>
      </c>
      <c r="Y93">
        <v>1</v>
      </c>
      <c r="Z93">
        <v>1</v>
      </c>
      <c r="AA93" t="s">
        <v>34</v>
      </c>
      <c r="AB93" t="s">
        <v>35</v>
      </c>
      <c r="AD93" t="s">
        <v>36</v>
      </c>
      <c r="AE93">
        <v>60.030855860749</v>
      </c>
      <c r="AF93" t="s">
        <v>37</v>
      </c>
    </row>
    <row r="94" spans="1:32" x14ac:dyDescent="0.3">
      <c r="A94">
        <v>27</v>
      </c>
      <c r="B94">
        <v>50</v>
      </c>
      <c r="C94">
        <v>21</v>
      </c>
      <c r="D94">
        <v>92</v>
      </c>
      <c r="E94">
        <v>1</v>
      </c>
      <c r="F94">
        <v>13</v>
      </c>
      <c r="G94" t="s">
        <v>32</v>
      </c>
      <c r="H94">
        <v>0.62090839998563696</v>
      </c>
      <c r="I94" t="s">
        <v>33</v>
      </c>
      <c r="J94">
        <v>13</v>
      </c>
      <c r="K94">
        <v>1</v>
      </c>
      <c r="L94">
        <v>92</v>
      </c>
      <c r="M94">
        <v>2</v>
      </c>
      <c r="N94">
        <v>194.84547130000999</v>
      </c>
      <c r="P94">
        <v>194.83587870001699</v>
      </c>
      <c r="Q94">
        <v>194.84547130000999</v>
      </c>
      <c r="R94">
        <v>195.829008100001</v>
      </c>
      <c r="S94">
        <v>195.829008100001</v>
      </c>
      <c r="T94">
        <v>195.845515399996</v>
      </c>
      <c r="U94">
        <v>196.463371699996</v>
      </c>
      <c r="V94" t="s">
        <v>32</v>
      </c>
      <c r="W94">
        <v>0.62090839998563696</v>
      </c>
      <c r="X94" t="s">
        <v>33</v>
      </c>
      <c r="Y94">
        <v>1</v>
      </c>
      <c r="Z94">
        <v>1</v>
      </c>
      <c r="AA94" t="s">
        <v>34</v>
      </c>
      <c r="AB94" t="s">
        <v>35</v>
      </c>
      <c r="AD94" t="s">
        <v>36</v>
      </c>
      <c r="AE94">
        <v>60.030855860749</v>
      </c>
      <c r="AF94" t="s">
        <v>37</v>
      </c>
    </row>
    <row r="95" spans="1:32" x14ac:dyDescent="0.3">
      <c r="A95">
        <v>40</v>
      </c>
      <c r="B95">
        <v>55</v>
      </c>
      <c r="C95">
        <v>62</v>
      </c>
      <c r="D95">
        <v>93</v>
      </c>
      <c r="E95">
        <v>2</v>
      </c>
      <c r="F95">
        <v>13</v>
      </c>
      <c r="G95" t="s">
        <v>38</v>
      </c>
      <c r="H95">
        <v>0.81741700001293705</v>
      </c>
      <c r="I95" t="s">
        <v>33</v>
      </c>
      <c r="J95">
        <v>13</v>
      </c>
      <c r="K95">
        <v>2</v>
      </c>
      <c r="L95">
        <v>93</v>
      </c>
      <c r="M95">
        <v>3</v>
      </c>
      <c r="N95">
        <v>196.47893080001799</v>
      </c>
      <c r="P95">
        <v>196.470589600008</v>
      </c>
      <c r="Q95">
        <v>196.47893080001799</v>
      </c>
      <c r="R95">
        <v>197.47880620000001</v>
      </c>
      <c r="S95">
        <v>197.47880620000001</v>
      </c>
      <c r="T95">
        <v>197.47880620000001</v>
      </c>
      <c r="U95">
        <v>198.31293700000899</v>
      </c>
      <c r="V95" t="s">
        <v>38</v>
      </c>
      <c r="W95">
        <v>0.81741700001293705</v>
      </c>
      <c r="X95" t="s">
        <v>33</v>
      </c>
      <c r="Y95">
        <v>1</v>
      </c>
      <c r="Z95">
        <v>1</v>
      </c>
      <c r="AA95" t="s">
        <v>34</v>
      </c>
      <c r="AB95" t="s">
        <v>35</v>
      </c>
      <c r="AD95" t="s">
        <v>36</v>
      </c>
      <c r="AE95">
        <v>60.030855860749</v>
      </c>
      <c r="AF95" t="s">
        <v>37</v>
      </c>
    </row>
    <row r="96" spans="1:32" x14ac:dyDescent="0.3">
      <c r="A96">
        <v>49</v>
      </c>
      <c r="B96">
        <v>60</v>
      </c>
      <c r="C96">
        <v>89</v>
      </c>
      <c r="D96">
        <v>94</v>
      </c>
      <c r="E96">
        <v>3</v>
      </c>
      <c r="F96">
        <v>13</v>
      </c>
      <c r="G96" t="s">
        <v>38</v>
      </c>
      <c r="H96">
        <v>0.65257700000074603</v>
      </c>
      <c r="I96" t="s">
        <v>33</v>
      </c>
      <c r="J96">
        <v>13</v>
      </c>
      <c r="K96">
        <v>3</v>
      </c>
      <c r="L96">
        <v>94</v>
      </c>
      <c r="M96">
        <v>4</v>
      </c>
      <c r="N96">
        <v>198.32894950002</v>
      </c>
      <c r="P96">
        <v>198.31920290002</v>
      </c>
      <c r="Q96">
        <v>198.32894950002</v>
      </c>
      <c r="R96">
        <v>199.31226550001799</v>
      </c>
      <c r="S96">
        <v>199.31226550001799</v>
      </c>
      <c r="T96">
        <v>199.32943780001301</v>
      </c>
      <c r="U96">
        <v>199.97970680001799</v>
      </c>
      <c r="V96" t="s">
        <v>38</v>
      </c>
      <c r="W96">
        <v>0.65257700000074603</v>
      </c>
      <c r="X96" t="s">
        <v>33</v>
      </c>
      <c r="Y96">
        <v>1</v>
      </c>
      <c r="Z96">
        <v>1</v>
      </c>
      <c r="AA96" t="s">
        <v>34</v>
      </c>
      <c r="AB96" t="s">
        <v>35</v>
      </c>
      <c r="AD96" t="s">
        <v>36</v>
      </c>
      <c r="AE96">
        <v>60.030855860749</v>
      </c>
      <c r="AF96" t="s">
        <v>37</v>
      </c>
    </row>
    <row r="97" spans="1:32" x14ac:dyDescent="0.3">
      <c r="A97">
        <v>78</v>
      </c>
      <c r="B97">
        <v>80</v>
      </c>
      <c r="C97">
        <v>162</v>
      </c>
      <c r="D97">
        <v>95</v>
      </c>
      <c r="E97">
        <v>4</v>
      </c>
      <c r="F97">
        <v>13</v>
      </c>
      <c r="G97" t="s">
        <v>38</v>
      </c>
      <c r="H97">
        <v>0.501963799993973</v>
      </c>
      <c r="I97" t="s">
        <v>33</v>
      </c>
      <c r="J97">
        <v>13</v>
      </c>
      <c r="K97">
        <v>4</v>
      </c>
      <c r="L97">
        <v>95</v>
      </c>
      <c r="M97">
        <v>6</v>
      </c>
      <c r="N97">
        <v>199.99546639999599</v>
      </c>
      <c r="P97">
        <v>199.98745580000099</v>
      </c>
      <c r="Q97">
        <v>199.99546639999599</v>
      </c>
      <c r="R97">
        <v>200.97892740002101</v>
      </c>
      <c r="S97">
        <v>200.97892740002101</v>
      </c>
      <c r="T97">
        <v>200.995506900013</v>
      </c>
      <c r="U97">
        <v>201.49633340002001</v>
      </c>
      <c r="V97" t="s">
        <v>38</v>
      </c>
      <c r="W97">
        <v>0.501963799993973</v>
      </c>
      <c r="X97" t="s">
        <v>33</v>
      </c>
      <c r="Y97">
        <v>1</v>
      </c>
      <c r="Z97">
        <v>1</v>
      </c>
      <c r="AA97" t="s">
        <v>34</v>
      </c>
      <c r="AB97" t="s">
        <v>35</v>
      </c>
      <c r="AD97" t="s">
        <v>36</v>
      </c>
      <c r="AE97">
        <v>60.030855860749</v>
      </c>
      <c r="AF97" t="s">
        <v>37</v>
      </c>
    </row>
    <row r="98" spans="1:32" x14ac:dyDescent="0.3">
      <c r="A98">
        <v>15</v>
      </c>
      <c r="B98">
        <v>35</v>
      </c>
      <c r="C98">
        <v>13</v>
      </c>
      <c r="D98">
        <v>96</v>
      </c>
      <c r="E98">
        <v>5</v>
      </c>
      <c r="F98">
        <v>13</v>
      </c>
      <c r="G98" t="s">
        <v>32</v>
      </c>
      <c r="H98">
        <v>1.6825178999861199</v>
      </c>
      <c r="I98" t="s">
        <v>33</v>
      </c>
      <c r="J98">
        <v>13</v>
      </c>
      <c r="K98">
        <v>5</v>
      </c>
      <c r="L98">
        <v>96</v>
      </c>
      <c r="M98">
        <v>1</v>
      </c>
      <c r="N98">
        <v>201.51223650001299</v>
      </c>
      <c r="P98">
        <v>201.50272869999699</v>
      </c>
      <c r="Q98">
        <v>201.51223650001299</v>
      </c>
      <c r="R98">
        <v>202.49557040000201</v>
      </c>
      <c r="S98">
        <v>202.49557040000201</v>
      </c>
      <c r="T98">
        <v>202.512204900005</v>
      </c>
      <c r="U98">
        <v>204.17957900001699</v>
      </c>
      <c r="V98" t="s">
        <v>32</v>
      </c>
      <c r="W98">
        <v>1.6825178999861199</v>
      </c>
      <c r="X98" t="s">
        <v>33</v>
      </c>
      <c r="Y98">
        <v>1</v>
      </c>
      <c r="Z98">
        <v>1</v>
      </c>
      <c r="AA98" t="s">
        <v>34</v>
      </c>
      <c r="AB98" t="s">
        <v>35</v>
      </c>
      <c r="AD98" t="s">
        <v>36</v>
      </c>
      <c r="AE98">
        <v>60.030855860749</v>
      </c>
      <c r="AF98" t="s">
        <v>37</v>
      </c>
    </row>
    <row r="99" spans="1:32" x14ac:dyDescent="0.3">
      <c r="A99">
        <v>67</v>
      </c>
      <c r="B99">
        <v>75</v>
      </c>
      <c r="C99">
        <v>119</v>
      </c>
      <c r="D99">
        <v>97</v>
      </c>
      <c r="E99">
        <v>6</v>
      </c>
      <c r="F99">
        <v>13</v>
      </c>
      <c r="G99" t="s">
        <v>38</v>
      </c>
      <c r="H99">
        <v>3.8848877999989702</v>
      </c>
      <c r="I99" t="s">
        <v>33</v>
      </c>
      <c r="J99">
        <v>13</v>
      </c>
      <c r="K99">
        <v>6</v>
      </c>
      <c r="L99">
        <v>97</v>
      </c>
      <c r="M99">
        <v>5</v>
      </c>
      <c r="N99">
        <v>204.195384300022</v>
      </c>
      <c r="P99">
        <v>204.18699380001601</v>
      </c>
      <c r="Q99">
        <v>204.195384300022</v>
      </c>
      <c r="R99">
        <v>205.17902140002101</v>
      </c>
      <c r="S99">
        <v>205.17902140002101</v>
      </c>
      <c r="T99">
        <v>205.19525530000101</v>
      </c>
      <c r="U99">
        <v>209.079508599999</v>
      </c>
      <c r="V99" t="s">
        <v>38</v>
      </c>
      <c r="W99">
        <v>3.8848877999989702</v>
      </c>
      <c r="X99" t="s">
        <v>33</v>
      </c>
      <c r="Y99">
        <v>1</v>
      </c>
      <c r="Z99">
        <v>1</v>
      </c>
      <c r="AA99" t="s">
        <v>34</v>
      </c>
      <c r="AB99" t="s">
        <v>35</v>
      </c>
      <c r="AD99" t="s">
        <v>36</v>
      </c>
      <c r="AE99">
        <v>60.030855860749</v>
      </c>
      <c r="AF99" t="s">
        <v>37</v>
      </c>
    </row>
    <row r="100" spans="1:32" x14ac:dyDescent="0.3">
      <c r="A100">
        <v>40</v>
      </c>
      <c r="B100">
        <v>55</v>
      </c>
      <c r="C100">
        <v>62</v>
      </c>
      <c r="D100">
        <v>98</v>
      </c>
      <c r="E100">
        <v>0</v>
      </c>
      <c r="F100">
        <v>14</v>
      </c>
      <c r="G100" t="s">
        <v>38</v>
      </c>
      <c r="H100">
        <v>0.40205869998317201</v>
      </c>
      <c r="I100" t="s">
        <v>33</v>
      </c>
      <c r="J100">
        <v>14</v>
      </c>
      <c r="K100">
        <v>0</v>
      </c>
      <c r="L100">
        <v>98</v>
      </c>
      <c r="M100">
        <v>3</v>
      </c>
      <c r="N100">
        <v>209.09503180000999</v>
      </c>
      <c r="P100">
        <v>209.08895460001</v>
      </c>
      <c r="Q100">
        <v>209.09503180000999</v>
      </c>
      <c r="R100">
        <v>210.078812399995</v>
      </c>
      <c r="S100">
        <v>210.078812399995</v>
      </c>
      <c r="T100">
        <v>210.09528390000901</v>
      </c>
      <c r="U100">
        <v>210.49615620000901</v>
      </c>
      <c r="V100" t="s">
        <v>38</v>
      </c>
      <c r="W100">
        <v>0.40205869998317201</v>
      </c>
      <c r="X100" t="s">
        <v>33</v>
      </c>
      <c r="Y100">
        <v>1</v>
      </c>
      <c r="Z100">
        <v>1</v>
      </c>
      <c r="AA100" t="s">
        <v>34</v>
      </c>
      <c r="AB100" t="s">
        <v>35</v>
      </c>
      <c r="AD100" t="s">
        <v>36</v>
      </c>
      <c r="AE100">
        <v>60.030855860749</v>
      </c>
      <c r="AF100" t="s">
        <v>37</v>
      </c>
    </row>
    <row r="101" spans="1:32" x14ac:dyDescent="0.3">
      <c r="A101">
        <v>67</v>
      </c>
      <c r="B101">
        <v>75</v>
      </c>
      <c r="C101">
        <v>119</v>
      </c>
      <c r="D101">
        <v>99</v>
      </c>
      <c r="E101">
        <v>1</v>
      </c>
      <c r="F101">
        <v>14</v>
      </c>
      <c r="G101" t="s">
        <v>38</v>
      </c>
      <c r="H101">
        <v>0.63829410000471398</v>
      </c>
      <c r="I101" t="s">
        <v>33</v>
      </c>
      <c r="J101">
        <v>14</v>
      </c>
      <c r="K101">
        <v>1</v>
      </c>
      <c r="L101">
        <v>99</v>
      </c>
      <c r="M101">
        <v>5</v>
      </c>
      <c r="N101">
        <v>210.51207799999901</v>
      </c>
      <c r="P101">
        <v>210.502556399995</v>
      </c>
      <c r="Q101">
        <v>210.51207799999901</v>
      </c>
      <c r="R101">
        <v>211.49537610000601</v>
      </c>
      <c r="S101">
        <v>211.49537610000601</v>
      </c>
      <c r="T101">
        <v>211.51258900001901</v>
      </c>
      <c r="U101">
        <v>212.14633489999599</v>
      </c>
      <c r="V101" t="s">
        <v>38</v>
      </c>
      <c r="W101">
        <v>0.63829410000471398</v>
      </c>
      <c r="X101" t="s">
        <v>33</v>
      </c>
      <c r="Y101">
        <v>1</v>
      </c>
      <c r="Z101">
        <v>1</v>
      </c>
      <c r="AA101" t="s">
        <v>34</v>
      </c>
      <c r="AB101" t="s">
        <v>35</v>
      </c>
      <c r="AD101" t="s">
        <v>36</v>
      </c>
      <c r="AE101">
        <v>60.030855860749</v>
      </c>
      <c r="AF10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6561-9B42-439A-BA99-A893B86FE867}">
  <dimension ref="A1:H101"/>
  <sheetViews>
    <sheetView tabSelected="1" workbookViewId="0">
      <selection activeCell="H3" sqref="H3"/>
    </sheetView>
  </sheetViews>
  <sheetFormatPr defaultRowHeight="14.4" x14ac:dyDescent="0.3"/>
  <cols>
    <col min="1" max="1" width="18.109375" customWidth="1"/>
    <col min="2" max="2" width="19" customWidth="1"/>
    <col min="3" max="3" width="13.109375" customWidth="1"/>
    <col min="4" max="4" width="12.6640625" customWidth="1"/>
    <col min="8" max="8" width="11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6</v>
      </c>
      <c r="E1" t="s">
        <v>39</v>
      </c>
      <c r="H1" t="s">
        <v>40</v>
      </c>
    </row>
    <row r="2" spans="1:8" x14ac:dyDescent="0.3">
      <c r="A2">
        <v>49</v>
      </c>
      <c r="B2">
        <v>60</v>
      </c>
      <c r="C2">
        <v>89</v>
      </c>
      <c r="D2" t="s">
        <v>32</v>
      </c>
      <c r="E2">
        <f>((B2-A2)-1)/C2</f>
        <v>0.11235955056179775</v>
      </c>
      <c r="H2">
        <f>AVERAGE(F3,F6,F8,F11,F15,F17,F20,F27,F30,F32,F36,F40,F45,F52,F56,F58,F62,F68,F70,F73,F83,F86,F92,F97)</f>
        <v>0.35164789245140565</v>
      </c>
    </row>
    <row r="3" spans="1:8" x14ac:dyDescent="0.3">
      <c r="A3">
        <v>78</v>
      </c>
      <c r="B3">
        <v>80</v>
      </c>
      <c r="C3">
        <v>162</v>
      </c>
      <c r="D3" t="s">
        <v>38</v>
      </c>
      <c r="E3">
        <f t="shared" ref="E3:E66" si="0">((B3-A3)-1)/C3</f>
        <v>6.1728395061728392E-3</v>
      </c>
      <c r="F3">
        <f>GEOMEAN(E3:E4)</f>
        <v>9.4983379362790027E-2</v>
      </c>
    </row>
    <row r="4" spans="1:8" x14ac:dyDescent="0.3">
      <c r="A4">
        <v>15</v>
      </c>
      <c r="B4">
        <v>35</v>
      </c>
      <c r="C4">
        <v>13</v>
      </c>
      <c r="D4" t="s">
        <v>32</v>
      </c>
      <c r="E4">
        <f t="shared" si="0"/>
        <v>1.4615384615384615</v>
      </c>
    </row>
    <row r="5" spans="1:8" x14ac:dyDescent="0.3">
      <c r="A5">
        <v>11</v>
      </c>
      <c r="B5">
        <v>30</v>
      </c>
      <c r="C5">
        <v>7</v>
      </c>
      <c r="D5" t="s">
        <v>32</v>
      </c>
      <c r="E5">
        <f t="shared" si="0"/>
        <v>2.5714285714285716</v>
      </c>
    </row>
    <row r="6" spans="1:8" x14ac:dyDescent="0.3">
      <c r="A6">
        <v>40</v>
      </c>
      <c r="B6">
        <v>55</v>
      </c>
      <c r="C6">
        <v>62</v>
      </c>
      <c r="D6" t="s">
        <v>38</v>
      </c>
      <c r="E6">
        <f t="shared" si="0"/>
        <v>0.22580645161290322</v>
      </c>
      <c r="F6">
        <f>GEOMEAN(E6:E7)</f>
        <v>0.48637345711392005</v>
      </c>
    </row>
    <row r="7" spans="1:8" x14ac:dyDescent="0.3">
      <c r="A7">
        <v>27</v>
      </c>
      <c r="B7">
        <v>50</v>
      </c>
      <c r="C7">
        <v>21</v>
      </c>
      <c r="D7" t="s">
        <v>32</v>
      </c>
      <c r="E7">
        <f t="shared" si="0"/>
        <v>1.0476190476190477</v>
      </c>
    </row>
    <row r="8" spans="1:8" x14ac:dyDescent="0.3">
      <c r="A8">
        <v>67</v>
      </c>
      <c r="B8">
        <v>75</v>
      </c>
      <c r="C8">
        <v>119</v>
      </c>
      <c r="D8" t="s">
        <v>38</v>
      </c>
      <c r="E8">
        <f t="shared" si="0"/>
        <v>5.8823529411764705E-2</v>
      </c>
      <c r="F8">
        <f>GEOMEAN(E8:E9)</f>
        <v>0.29321127310990797</v>
      </c>
    </row>
    <row r="9" spans="1:8" x14ac:dyDescent="0.3">
      <c r="A9">
        <v>15</v>
      </c>
      <c r="B9">
        <v>35</v>
      </c>
      <c r="C9">
        <v>13</v>
      </c>
      <c r="D9" t="s">
        <v>32</v>
      </c>
      <c r="E9">
        <f t="shared" si="0"/>
        <v>1.4615384615384615</v>
      </c>
    </row>
    <row r="10" spans="1:8" x14ac:dyDescent="0.3">
      <c r="A10">
        <v>49</v>
      </c>
      <c r="B10">
        <v>60</v>
      </c>
      <c r="C10">
        <v>89</v>
      </c>
      <c r="D10" t="s">
        <v>32</v>
      </c>
      <c r="E10">
        <f t="shared" si="0"/>
        <v>0.11235955056179775</v>
      </c>
    </row>
    <row r="11" spans="1:8" x14ac:dyDescent="0.3">
      <c r="A11">
        <v>78</v>
      </c>
      <c r="B11">
        <v>80</v>
      </c>
      <c r="C11">
        <v>162</v>
      </c>
      <c r="D11" t="s">
        <v>38</v>
      </c>
      <c r="E11">
        <f t="shared" si="0"/>
        <v>6.1728395061728392E-3</v>
      </c>
      <c r="F11">
        <f>GEOMEAN(E11:E12)</f>
        <v>0.12598815766974242</v>
      </c>
    </row>
    <row r="12" spans="1:8" x14ac:dyDescent="0.3">
      <c r="A12">
        <v>11</v>
      </c>
      <c r="B12">
        <v>30</v>
      </c>
      <c r="C12">
        <v>7</v>
      </c>
      <c r="D12" t="s">
        <v>32</v>
      </c>
      <c r="E12">
        <f t="shared" si="0"/>
        <v>2.5714285714285716</v>
      </c>
    </row>
    <row r="13" spans="1:8" x14ac:dyDescent="0.3">
      <c r="A13">
        <v>27</v>
      </c>
      <c r="B13">
        <v>50</v>
      </c>
      <c r="C13">
        <v>21</v>
      </c>
      <c r="D13" t="s">
        <v>32</v>
      </c>
      <c r="E13">
        <f t="shared" si="0"/>
        <v>1.0476190476190477</v>
      </c>
    </row>
    <row r="14" spans="1:8" x14ac:dyDescent="0.3">
      <c r="A14">
        <v>67</v>
      </c>
      <c r="B14">
        <v>75</v>
      </c>
      <c r="C14">
        <v>119</v>
      </c>
      <c r="D14" t="s">
        <v>38</v>
      </c>
      <c r="E14">
        <f t="shared" si="0"/>
        <v>5.8823529411764705E-2</v>
      </c>
    </row>
    <row r="15" spans="1:8" x14ac:dyDescent="0.3">
      <c r="A15">
        <v>40</v>
      </c>
      <c r="B15">
        <v>55</v>
      </c>
      <c r="C15">
        <v>62</v>
      </c>
      <c r="D15" t="s">
        <v>38</v>
      </c>
      <c r="E15">
        <f t="shared" si="0"/>
        <v>0.22580645161290322</v>
      </c>
      <c r="F15">
        <f>GEOMEAN(E15:E16)</f>
        <v>0.76200076200114297</v>
      </c>
    </row>
    <row r="16" spans="1:8" x14ac:dyDescent="0.3">
      <c r="A16">
        <v>11</v>
      </c>
      <c r="B16">
        <v>30</v>
      </c>
      <c r="C16">
        <v>7</v>
      </c>
      <c r="D16" t="s">
        <v>32</v>
      </c>
      <c r="E16">
        <f t="shared" si="0"/>
        <v>2.5714285714285716</v>
      </c>
    </row>
    <row r="17" spans="1:6" x14ac:dyDescent="0.3">
      <c r="A17">
        <v>78</v>
      </c>
      <c r="B17">
        <v>80</v>
      </c>
      <c r="C17">
        <v>162</v>
      </c>
      <c r="D17" t="s">
        <v>38</v>
      </c>
      <c r="E17">
        <f t="shared" si="0"/>
        <v>6.1728395061728392E-3</v>
      </c>
      <c r="F17">
        <f>GEOMEAN(E17:E18)</f>
        <v>8.0416318272860651E-2</v>
      </c>
    </row>
    <row r="18" spans="1:6" x14ac:dyDescent="0.3">
      <c r="A18">
        <v>27</v>
      </c>
      <c r="B18">
        <v>50</v>
      </c>
      <c r="C18">
        <v>21</v>
      </c>
      <c r="D18" t="s">
        <v>32</v>
      </c>
      <c r="E18">
        <f t="shared" si="0"/>
        <v>1.0476190476190477</v>
      </c>
    </row>
    <row r="19" spans="1:6" x14ac:dyDescent="0.3">
      <c r="A19">
        <v>67</v>
      </c>
      <c r="B19">
        <v>75</v>
      </c>
      <c r="C19">
        <v>119</v>
      </c>
      <c r="D19" t="s">
        <v>38</v>
      </c>
      <c r="E19">
        <f t="shared" si="0"/>
        <v>5.8823529411764705E-2</v>
      </c>
    </row>
    <row r="20" spans="1:6" x14ac:dyDescent="0.3">
      <c r="A20">
        <v>40</v>
      </c>
      <c r="B20">
        <v>55</v>
      </c>
      <c r="C20">
        <v>62</v>
      </c>
      <c r="D20" t="s">
        <v>38</v>
      </c>
      <c r="E20">
        <f t="shared" si="0"/>
        <v>0.22580645161290322</v>
      </c>
      <c r="F20">
        <f>GEOMEAN(E20:E21)</f>
        <v>0.57447786197187933</v>
      </c>
    </row>
    <row r="21" spans="1:6" x14ac:dyDescent="0.3">
      <c r="A21">
        <v>15</v>
      </c>
      <c r="B21">
        <v>35</v>
      </c>
      <c r="C21">
        <v>13</v>
      </c>
      <c r="D21" t="s">
        <v>32</v>
      </c>
      <c r="E21">
        <f t="shared" si="0"/>
        <v>1.4615384615384615</v>
      </c>
    </row>
    <row r="22" spans="1:6" x14ac:dyDescent="0.3">
      <c r="A22">
        <v>49</v>
      </c>
      <c r="B22">
        <v>60</v>
      </c>
      <c r="C22">
        <v>89</v>
      </c>
      <c r="D22" t="s">
        <v>38</v>
      </c>
      <c r="E22">
        <f t="shared" si="0"/>
        <v>0.11235955056179775</v>
      </c>
    </row>
    <row r="23" spans="1:6" x14ac:dyDescent="0.3">
      <c r="A23">
        <v>27</v>
      </c>
      <c r="B23">
        <v>50</v>
      </c>
      <c r="C23">
        <v>21</v>
      </c>
      <c r="D23" t="s">
        <v>38</v>
      </c>
      <c r="E23">
        <f t="shared" si="0"/>
        <v>1.0476190476190477</v>
      </c>
    </row>
    <row r="24" spans="1:6" x14ac:dyDescent="0.3">
      <c r="A24">
        <v>67</v>
      </c>
      <c r="B24">
        <v>75</v>
      </c>
      <c r="C24">
        <v>119</v>
      </c>
      <c r="D24" t="s">
        <v>38</v>
      </c>
      <c r="E24">
        <f t="shared" si="0"/>
        <v>5.8823529411764705E-2</v>
      </c>
    </row>
    <row r="25" spans="1:6" x14ac:dyDescent="0.3">
      <c r="A25">
        <v>40</v>
      </c>
      <c r="B25">
        <v>55</v>
      </c>
      <c r="C25">
        <v>62</v>
      </c>
      <c r="D25" t="s">
        <v>38</v>
      </c>
      <c r="E25">
        <f t="shared" si="0"/>
        <v>0.22580645161290322</v>
      </c>
    </row>
    <row r="26" spans="1:6" x14ac:dyDescent="0.3">
      <c r="A26">
        <v>78</v>
      </c>
      <c r="B26">
        <v>80</v>
      </c>
      <c r="C26">
        <v>162</v>
      </c>
      <c r="D26" t="s">
        <v>38</v>
      </c>
      <c r="E26">
        <f t="shared" si="0"/>
        <v>6.1728395061728392E-3</v>
      </c>
    </row>
    <row r="27" spans="1:6" x14ac:dyDescent="0.3">
      <c r="A27">
        <v>49</v>
      </c>
      <c r="B27">
        <v>60</v>
      </c>
      <c r="C27">
        <v>89</v>
      </c>
      <c r="D27" t="s">
        <v>38</v>
      </c>
      <c r="E27">
        <f t="shared" si="0"/>
        <v>0.11235955056179775</v>
      </c>
      <c r="F27">
        <f>GEOMEAN(E27:E28)</f>
        <v>0.53751703097434966</v>
      </c>
    </row>
    <row r="28" spans="1:6" x14ac:dyDescent="0.3">
      <c r="A28">
        <v>11</v>
      </c>
      <c r="B28">
        <v>30</v>
      </c>
      <c r="C28">
        <v>7</v>
      </c>
      <c r="D28" t="s">
        <v>32</v>
      </c>
      <c r="E28">
        <f t="shared" si="0"/>
        <v>2.5714285714285716</v>
      </c>
    </row>
    <row r="29" spans="1:6" x14ac:dyDescent="0.3">
      <c r="A29">
        <v>15</v>
      </c>
      <c r="B29">
        <v>35</v>
      </c>
      <c r="C29">
        <v>13</v>
      </c>
      <c r="D29" t="s">
        <v>32</v>
      </c>
      <c r="E29">
        <f t="shared" si="0"/>
        <v>1.4615384615384615</v>
      </c>
    </row>
    <row r="30" spans="1:6" x14ac:dyDescent="0.3">
      <c r="A30">
        <v>67</v>
      </c>
      <c r="B30">
        <v>75</v>
      </c>
      <c r="C30">
        <v>119</v>
      </c>
      <c r="D30" t="s">
        <v>38</v>
      </c>
      <c r="E30">
        <f t="shared" si="0"/>
        <v>5.8823529411764705E-2</v>
      </c>
      <c r="F30">
        <f>GEOMEAN(E30:E31)</f>
        <v>0.38892223413129867</v>
      </c>
    </row>
    <row r="31" spans="1:6" x14ac:dyDescent="0.3">
      <c r="A31">
        <v>11</v>
      </c>
      <c r="B31">
        <v>30</v>
      </c>
      <c r="C31">
        <v>7</v>
      </c>
      <c r="D31" t="s">
        <v>32</v>
      </c>
      <c r="E31">
        <f t="shared" si="0"/>
        <v>2.5714285714285716</v>
      </c>
    </row>
    <row r="32" spans="1:6" x14ac:dyDescent="0.3">
      <c r="A32">
        <v>49</v>
      </c>
      <c r="B32">
        <v>60</v>
      </c>
      <c r="C32">
        <v>89</v>
      </c>
      <c r="D32" t="s">
        <v>38</v>
      </c>
      <c r="E32">
        <f t="shared" si="0"/>
        <v>0.11235955056179775</v>
      </c>
      <c r="F32">
        <f>GEOMEAN(E32:E33)</f>
        <v>0.4052379605457056</v>
      </c>
    </row>
    <row r="33" spans="1:6" x14ac:dyDescent="0.3">
      <c r="A33">
        <v>15</v>
      </c>
      <c r="B33">
        <v>35</v>
      </c>
      <c r="C33">
        <v>13</v>
      </c>
      <c r="D33" t="s">
        <v>32</v>
      </c>
      <c r="E33">
        <f t="shared" si="0"/>
        <v>1.4615384615384615</v>
      </c>
    </row>
    <row r="34" spans="1:6" x14ac:dyDescent="0.3">
      <c r="A34">
        <v>40</v>
      </c>
      <c r="B34">
        <v>55</v>
      </c>
      <c r="C34">
        <v>62</v>
      </c>
      <c r="D34" t="s">
        <v>38</v>
      </c>
      <c r="E34">
        <f t="shared" si="0"/>
        <v>0.22580645161290322</v>
      </c>
    </row>
    <row r="35" spans="1:6" x14ac:dyDescent="0.3">
      <c r="A35">
        <v>27</v>
      </c>
      <c r="B35">
        <v>50</v>
      </c>
      <c r="C35">
        <v>21</v>
      </c>
      <c r="D35" t="s">
        <v>38</v>
      </c>
      <c r="E35">
        <f t="shared" si="0"/>
        <v>1.0476190476190477</v>
      </c>
    </row>
    <row r="36" spans="1:6" x14ac:dyDescent="0.3">
      <c r="A36">
        <v>78</v>
      </c>
      <c r="B36">
        <v>80</v>
      </c>
      <c r="C36">
        <v>162</v>
      </c>
      <c r="D36" t="s">
        <v>38</v>
      </c>
      <c r="E36">
        <f t="shared" si="0"/>
        <v>6.1728395061728392E-3</v>
      </c>
      <c r="F36">
        <f>GEOMEAN(E36:E37)</f>
        <v>8.0416318272860651E-2</v>
      </c>
    </row>
    <row r="37" spans="1:6" x14ac:dyDescent="0.3">
      <c r="A37">
        <v>27</v>
      </c>
      <c r="B37">
        <v>50</v>
      </c>
      <c r="C37">
        <v>21</v>
      </c>
      <c r="D37" t="s">
        <v>32</v>
      </c>
      <c r="E37">
        <f t="shared" si="0"/>
        <v>1.0476190476190477</v>
      </c>
    </row>
    <row r="38" spans="1:6" x14ac:dyDescent="0.3">
      <c r="A38">
        <v>67</v>
      </c>
      <c r="B38">
        <v>75</v>
      </c>
      <c r="C38">
        <v>119</v>
      </c>
      <c r="D38" t="s">
        <v>38</v>
      </c>
      <c r="E38">
        <f t="shared" si="0"/>
        <v>5.8823529411764705E-2</v>
      </c>
    </row>
    <row r="39" spans="1:6" x14ac:dyDescent="0.3">
      <c r="A39">
        <v>40</v>
      </c>
      <c r="B39">
        <v>55</v>
      </c>
      <c r="C39">
        <v>62</v>
      </c>
      <c r="D39" t="s">
        <v>38</v>
      </c>
      <c r="E39">
        <f t="shared" si="0"/>
        <v>0.22580645161290322</v>
      </c>
    </row>
    <row r="40" spans="1:6" x14ac:dyDescent="0.3">
      <c r="A40">
        <v>78</v>
      </c>
      <c r="B40">
        <v>80</v>
      </c>
      <c r="C40">
        <v>162</v>
      </c>
      <c r="D40" t="s">
        <v>38</v>
      </c>
      <c r="E40">
        <f t="shared" si="0"/>
        <v>6.1728395061728392E-3</v>
      </c>
      <c r="F40">
        <f>GEOMEAN(E40:E41)</f>
        <v>0.12598815766974242</v>
      </c>
    </row>
    <row r="41" spans="1:6" x14ac:dyDescent="0.3">
      <c r="A41">
        <v>11</v>
      </c>
      <c r="B41">
        <v>30</v>
      </c>
      <c r="C41">
        <v>7</v>
      </c>
      <c r="D41" t="s">
        <v>32</v>
      </c>
      <c r="E41">
        <f t="shared" si="0"/>
        <v>2.5714285714285716</v>
      </c>
    </row>
    <row r="42" spans="1:6" x14ac:dyDescent="0.3">
      <c r="A42">
        <v>15</v>
      </c>
      <c r="B42">
        <v>35</v>
      </c>
      <c r="C42">
        <v>13</v>
      </c>
      <c r="D42" t="s">
        <v>32</v>
      </c>
      <c r="E42">
        <f t="shared" si="0"/>
        <v>1.4615384615384615</v>
      </c>
    </row>
    <row r="43" spans="1:6" x14ac:dyDescent="0.3">
      <c r="A43">
        <v>49</v>
      </c>
      <c r="B43">
        <v>60</v>
      </c>
      <c r="C43">
        <v>89</v>
      </c>
      <c r="D43" t="s">
        <v>38</v>
      </c>
      <c r="E43">
        <f t="shared" si="0"/>
        <v>0.11235955056179775</v>
      </c>
    </row>
    <row r="44" spans="1:6" x14ac:dyDescent="0.3">
      <c r="A44">
        <v>67</v>
      </c>
      <c r="B44">
        <v>75</v>
      </c>
      <c r="C44">
        <v>119</v>
      </c>
      <c r="D44" t="s">
        <v>38</v>
      </c>
      <c r="E44">
        <f t="shared" si="0"/>
        <v>5.8823529411764705E-2</v>
      </c>
    </row>
    <row r="45" spans="1:6" x14ac:dyDescent="0.3">
      <c r="A45">
        <v>11</v>
      </c>
      <c r="B45">
        <v>30</v>
      </c>
      <c r="C45">
        <v>7</v>
      </c>
      <c r="D45" t="s">
        <v>38</v>
      </c>
      <c r="E45">
        <f t="shared" si="0"/>
        <v>2.5714285714285716</v>
      </c>
      <c r="F45">
        <f>GEOMEAN(E45:E46)</f>
        <v>1.6413036132965797</v>
      </c>
    </row>
    <row r="46" spans="1:6" x14ac:dyDescent="0.3">
      <c r="A46">
        <v>27</v>
      </c>
      <c r="B46">
        <v>50</v>
      </c>
      <c r="C46">
        <v>21</v>
      </c>
      <c r="D46" t="s">
        <v>32</v>
      </c>
      <c r="E46">
        <f t="shared" si="0"/>
        <v>1.0476190476190477</v>
      </c>
    </row>
    <row r="47" spans="1:6" x14ac:dyDescent="0.3">
      <c r="A47">
        <v>15</v>
      </c>
      <c r="B47">
        <v>35</v>
      </c>
      <c r="C47">
        <v>13</v>
      </c>
      <c r="D47" t="s">
        <v>32</v>
      </c>
      <c r="E47">
        <f t="shared" si="0"/>
        <v>1.4615384615384615</v>
      </c>
    </row>
    <row r="48" spans="1:6" x14ac:dyDescent="0.3">
      <c r="A48">
        <v>49</v>
      </c>
      <c r="B48">
        <v>60</v>
      </c>
      <c r="C48">
        <v>89</v>
      </c>
      <c r="D48" t="s">
        <v>38</v>
      </c>
      <c r="E48">
        <f t="shared" si="0"/>
        <v>0.11235955056179775</v>
      </c>
    </row>
    <row r="49" spans="1:6" x14ac:dyDescent="0.3">
      <c r="A49">
        <v>78</v>
      </c>
      <c r="B49">
        <v>80</v>
      </c>
      <c r="C49">
        <v>162</v>
      </c>
      <c r="D49" t="s">
        <v>38</v>
      </c>
      <c r="E49">
        <f t="shared" si="0"/>
        <v>6.1728395061728392E-3</v>
      </c>
    </row>
    <row r="50" spans="1:6" x14ac:dyDescent="0.3">
      <c r="A50">
        <v>40</v>
      </c>
      <c r="B50">
        <v>55</v>
      </c>
      <c r="C50">
        <v>62</v>
      </c>
      <c r="D50" t="s">
        <v>38</v>
      </c>
      <c r="E50">
        <f t="shared" si="0"/>
        <v>0.22580645161290322</v>
      </c>
    </row>
    <row r="51" spans="1:6" x14ac:dyDescent="0.3">
      <c r="A51">
        <v>15</v>
      </c>
      <c r="B51">
        <v>35</v>
      </c>
      <c r="C51">
        <v>13</v>
      </c>
      <c r="D51" t="s">
        <v>38</v>
      </c>
      <c r="E51">
        <f t="shared" si="0"/>
        <v>1.4615384615384615</v>
      </c>
    </row>
    <row r="52" spans="1:6" x14ac:dyDescent="0.3">
      <c r="A52">
        <v>49</v>
      </c>
      <c r="B52">
        <v>60</v>
      </c>
      <c r="C52">
        <v>89</v>
      </c>
      <c r="D52" t="s">
        <v>38</v>
      </c>
      <c r="E52">
        <f t="shared" si="0"/>
        <v>0.11235955056179775</v>
      </c>
      <c r="F52">
        <f>GEOMEAN(E52:E53)</f>
        <v>0.34308891755703042</v>
      </c>
    </row>
    <row r="53" spans="1:6" x14ac:dyDescent="0.3">
      <c r="A53">
        <v>27</v>
      </c>
      <c r="B53">
        <v>50</v>
      </c>
      <c r="C53">
        <v>21</v>
      </c>
      <c r="D53" t="s">
        <v>32</v>
      </c>
      <c r="E53">
        <f t="shared" si="0"/>
        <v>1.0476190476190477</v>
      </c>
    </row>
    <row r="54" spans="1:6" x14ac:dyDescent="0.3">
      <c r="A54">
        <v>67</v>
      </c>
      <c r="B54">
        <v>75</v>
      </c>
      <c r="C54">
        <v>119</v>
      </c>
      <c r="D54" t="s">
        <v>38</v>
      </c>
      <c r="E54">
        <f t="shared" si="0"/>
        <v>5.8823529411764705E-2</v>
      </c>
    </row>
    <row r="55" spans="1:6" x14ac:dyDescent="0.3">
      <c r="A55">
        <v>40</v>
      </c>
      <c r="B55">
        <v>55</v>
      </c>
      <c r="C55">
        <v>62</v>
      </c>
      <c r="D55" t="s">
        <v>38</v>
      </c>
      <c r="E55">
        <f t="shared" si="0"/>
        <v>0.22580645161290322</v>
      </c>
    </row>
    <row r="56" spans="1:6" x14ac:dyDescent="0.3">
      <c r="A56">
        <v>78</v>
      </c>
      <c r="B56">
        <v>80</v>
      </c>
      <c r="C56">
        <v>162</v>
      </c>
      <c r="D56" t="s">
        <v>38</v>
      </c>
      <c r="E56">
        <f t="shared" si="0"/>
        <v>6.1728395061728392E-3</v>
      </c>
      <c r="F56">
        <f>GEOMEAN(E56:E57)</f>
        <v>0.12598815766974242</v>
      </c>
    </row>
    <row r="57" spans="1:6" x14ac:dyDescent="0.3">
      <c r="A57">
        <v>11</v>
      </c>
      <c r="B57">
        <v>30</v>
      </c>
      <c r="C57">
        <v>7</v>
      </c>
      <c r="D57" t="s">
        <v>32</v>
      </c>
      <c r="E57">
        <f t="shared" si="0"/>
        <v>2.5714285714285716</v>
      </c>
    </row>
    <row r="58" spans="1:6" x14ac:dyDescent="0.3">
      <c r="A58">
        <v>40</v>
      </c>
      <c r="B58">
        <v>55</v>
      </c>
      <c r="C58">
        <v>62</v>
      </c>
      <c r="D58" t="s">
        <v>38</v>
      </c>
      <c r="E58">
        <f t="shared" si="0"/>
        <v>0.22580645161290322</v>
      </c>
      <c r="F58">
        <f>GEOMEAN(E58:E59)</f>
        <v>0.57447786197187933</v>
      </c>
    </row>
    <row r="59" spans="1:6" x14ac:dyDescent="0.3">
      <c r="A59">
        <v>15</v>
      </c>
      <c r="B59">
        <v>35</v>
      </c>
      <c r="C59">
        <v>13</v>
      </c>
      <c r="D59" t="s">
        <v>32</v>
      </c>
      <c r="E59">
        <f t="shared" si="0"/>
        <v>1.4615384615384615</v>
      </c>
    </row>
    <row r="60" spans="1:6" x14ac:dyDescent="0.3">
      <c r="A60">
        <v>49</v>
      </c>
      <c r="B60">
        <v>60</v>
      </c>
      <c r="C60">
        <v>89</v>
      </c>
      <c r="D60" t="s">
        <v>38</v>
      </c>
      <c r="E60">
        <f t="shared" si="0"/>
        <v>0.11235955056179775</v>
      </c>
    </row>
    <row r="61" spans="1:6" x14ac:dyDescent="0.3">
      <c r="A61">
        <v>67</v>
      </c>
      <c r="B61">
        <v>75</v>
      </c>
      <c r="C61">
        <v>119</v>
      </c>
      <c r="D61" t="s">
        <v>38</v>
      </c>
      <c r="E61">
        <f t="shared" si="0"/>
        <v>5.8823529411764705E-2</v>
      </c>
    </row>
    <row r="62" spans="1:6" x14ac:dyDescent="0.3">
      <c r="A62">
        <v>78</v>
      </c>
      <c r="B62">
        <v>80</v>
      </c>
      <c r="C62">
        <v>162</v>
      </c>
      <c r="D62" t="s">
        <v>38</v>
      </c>
      <c r="E62">
        <f t="shared" si="0"/>
        <v>6.1728395061728392E-3</v>
      </c>
      <c r="F62">
        <f>GEOMEAN(E62:E63)</f>
        <v>8.0416318272860651E-2</v>
      </c>
    </row>
    <row r="63" spans="1:6" x14ac:dyDescent="0.3">
      <c r="A63">
        <v>27</v>
      </c>
      <c r="B63">
        <v>50</v>
      </c>
      <c r="C63">
        <v>21</v>
      </c>
      <c r="D63" t="s">
        <v>32</v>
      </c>
      <c r="E63">
        <f t="shared" si="0"/>
        <v>1.0476190476190477</v>
      </c>
    </row>
    <row r="64" spans="1:6" x14ac:dyDescent="0.3">
      <c r="A64">
        <v>11</v>
      </c>
      <c r="B64">
        <v>30</v>
      </c>
      <c r="C64">
        <v>7</v>
      </c>
      <c r="D64" t="s">
        <v>32</v>
      </c>
      <c r="E64">
        <f t="shared" si="0"/>
        <v>2.5714285714285716</v>
      </c>
    </row>
    <row r="65" spans="1:6" x14ac:dyDescent="0.3">
      <c r="A65">
        <v>15</v>
      </c>
      <c r="B65">
        <v>35</v>
      </c>
      <c r="C65">
        <v>13</v>
      </c>
      <c r="D65" t="s">
        <v>32</v>
      </c>
      <c r="E65">
        <f t="shared" si="0"/>
        <v>1.4615384615384615</v>
      </c>
    </row>
    <row r="66" spans="1:6" x14ac:dyDescent="0.3">
      <c r="A66">
        <v>49</v>
      </c>
      <c r="B66">
        <v>60</v>
      </c>
      <c r="C66">
        <v>89</v>
      </c>
      <c r="D66" t="s">
        <v>38</v>
      </c>
      <c r="E66">
        <f t="shared" si="0"/>
        <v>0.11235955056179775</v>
      </c>
    </row>
    <row r="67" spans="1:6" x14ac:dyDescent="0.3">
      <c r="A67">
        <v>40</v>
      </c>
      <c r="B67">
        <v>55</v>
      </c>
      <c r="C67">
        <v>62</v>
      </c>
      <c r="D67" t="s">
        <v>38</v>
      </c>
      <c r="E67">
        <f t="shared" ref="E67:E101" si="1">((B67-A67)-1)/C67</f>
        <v>0.22580645161290322</v>
      </c>
    </row>
    <row r="68" spans="1:6" x14ac:dyDescent="0.3">
      <c r="A68">
        <v>67</v>
      </c>
      <c r="B68">
        <v>75</v>
      </c>
      <c r="C68">
        <v>119</v>
      </c>
      <c r="D68" t="s">
        <v>38</v>
      </c>
      <c r="E68">
        <f t="shared" si="1"/>
        <v>5.8823529411764705E-2</v>
      </c>
      <c r="F68">
        <f>GEOMEAN(E68:E69)</f>
        <v>0.24824312651097508</v>
      </c>
    </row>
    <row r="69" spans="1:6" x14ac:dyDescent="0.3">
      <c r="A69">
        <v>27</v>
      </c>
      <c r="B69">
        <v>50</v>
      </c>
      <c r="C69">
        <v>21</v>
      </c>
      <c r="D69" t="s">
        <v>32</v>
      </c>
      <c r="E69">
        <f t="shared" si="1"/>
        <v>1.0476190476190477</v>
      </c>
    </row>
    <row r="70" spans="1:6" x14ac:dyDescent="0.3">
      <c r="A70">
        <v>78</v>
      </c>
      <c r="B70">
        <v>80</v>
      </c>
      <c r="C70">
        <v>162</v>
      </c>
      <c r="D70" t="s">
        <v>38</v>
      </c>
      <c r="E70">
        <f t="shared" si="1"/>
        <v>6.1728395061728392E-3</v>
      </c>
      <c r="F70">
        <f>GEOMEAN(E70:E71)</f>
        <v>0.12598815766974242</v>
      </c>
    </row>
    <row r="71" spans="1:6" x14ac:dyDescent="0.3">
      <c r="A71">
        <v>11</v>
      </c>
      <c r="B71">
        <v>30</v>
      </c>
      <c r="C71">
        <v>7</v>
      </c>
      <c r="D71" t="s">
        <v>32</v>
      </c>
      <c r="E71">
        <f t="shared" si="1"/>
        <v>2.5714285714285716</v>
      </c>
    </row>
    <row r="72" spans="1:6" x14ac:dyDescent="0.3">
      <c r="A72">
        <v>15</v>
      </c>
      <c r="B72">
        <v>35</v>
      </c>
      <c r="C72">
        <v>13</v>
      </c>
      <c r="D72" t="s">
        <v>32</v>
      </c>
      <c r="E72">
        <f t="shared" si="1"/>
        <v>1.4615384615384615</v>
      </c>
    </row>
    <row r="73" spans="1:6" x14ac:dyDescent="0.3">
      <c r="A73">
        <v>67</v>
      </c>
      <c r="B73">
        <v>75</v>
      </c>
      <c r="C73">
        <v>119</v>
      </c>
      <c r="D73" t="s">
        <v>38</v>
      </c>
      <c r="E73">
        <f t="shared" si="1"/>
        <v>5.8823529411764705E-2</v>
      </c>
      <c r="F73">
        <f>GEOMEAN(E73:E74)</f>
        <v>0.38892223413129867</v>
      </c>
    </row>
    <row r="74" spans="1:6" x14ac:dyDescent="0.3">
      <c r="A74">
        <v>11</v>
      </c>
      <c r="B74">
        <v>30</v>
      </c>
      <c r="C74">
        <v>7</v>
      </c>
      <c r="D74" t="s">
        <v>32</v>
      </c>
      <c r="E74">
        <f t="shared" si="1"/>
        <v>2.5714285714285716</v>
      </c>
    </row>
    <row r="75" spans="1:6" x14ac:dyDescent="0.3">
      <c r="A75">
        <v>40</v>
      </c>
      <c r="B75">
        <v>55</v>
      </c>
      <c r="C75">
        <v>62</v>
      </c>
      <c r="D75" t="s">
        <v>38</v>
      </c>
      <c r="E75">
        <f t="shared" si="1"/>
        <v>0.22580645161290322</v>
      </c>
    </row>
    <row r="76" spans="1:6" x14ac:dyDescent="0.3">
      <c r="A76">
        <v>78</v>
      </c>
      <c r="B76">
        <v>80</v>
      </c>
      <c r="C76">
        <v>162</v>
      </c>
      <c r="D76" t="s">
        <v>38</v>
      </c>
      <c r="E76">
        <f t="shared" si="1"/>
        <v>6.1728395061728392E-3</v>
      </c>
    </row>
    <row r="77" spans="1:6" x14ac:dyDescent="0.3">
      <c r="A77">
        <v>49</v>
      </c>
      <c r="B77">
        <v>60</v>
      </c>
      <c r="C77">
        <v>89</v>
      </c>
      <c r="D77" t="s">
        <v>38</v>
      </c>
      <c r="E77">
        <f t="shared" si="1"/>
        <v>0.11235955056179775</v>
      </c>
    </row>
    <row r="78" spans="1:6" x14ac:dyDescent="0.3">
      <c r="A78">
        <v>27</v>
      </c>
      <c r="B78">
        <v>50</v>
      </c>
      <c r="C78">
        <v>21</v>
      </c>
      <c r="D78" t="s">
        <v>38</v>
      </c>
      <c r="E78">
        <f t="shared" si="1"/>
        <v>1.0476190476190477</v>
      </c>
    </row>
    <row r="79" spans="1:6" x14ac:dyDescent="0.3">
      <c r="A79">
        <v>15</v>
      </c>
      <c r="B79">
        <v>35</v>
      </c>
      <c r="C79">
        <v>13</v>
      </c>
      <c r="D79" t="s">
        <v>38</v>
      </c>
      <c r="E79">
        <f t="shared" si="1"/>
        <v>1.4615384615384615</v>
      </c>
    </row>
    <row r="80" spans="1:6" x14ac:dyDescent="0.3">
      <c r="A80">
        <v>49</v>
      </c>
      <c r="B80">
        <v>60</v>
      </c>
      <c r="C80">
        <v>89</v>
      </c>
      <c r="D80" t="s">
        <v>38</v>
      </c>
      <c r="E80">
        <f t="shared" si="1"/>
        <v>0.11235955056179775</v>
      </c>
    </row>
    <row r="81" spans="1:6" x14ac:dyDescent="0.3">
      <c r="A81">
        <v>78</v>
      </c>
      <c r="B81">
        <v>80</v>
      </c>
      <c r="C81">
        <v>162</v>
      </c>
      <c r="D81" t="s">
        <v>38</v>
      </c>
      <c r="E81">
        <f t="shared" si="1"/>
        <v>6.1728395061728392E-3</v>
      </c>
    </row>
    <row r="82" spans="1:6" x14ac:dyDescent="0.3">
      <c r="A82">
        <v>40</v>
      </c>
      <c r="B82">
        <v>55</v>
      </c>
      <c r="C82">
        <v>62</v>
      </c>
      <c r="D82" t="s">
        <v>38</v>
      </c>
      <c r="E82">
        <f t="shared" si="1"/>
        <v>0.22580645161290322</v>
      </c>
    </row>
    <row r="83" spans="1:6" x14ac:dyDescent="0.3">
      <c r="A83">
        <v>67</v>
      </c>
      <c r="B83">
        <v>75</v>
      </c>
      <c r="C83">
        <v>119</v>
      </c>
      <c r="D83" t="s">
        <v>38</v>
      </c>
      <c r="E83">
        <f t="shared" si="1"/>
        <v>5.8823529411764705E-2</v>
      </c>
      <c r="F83">
        <f>GEOMEAN(E83:E84)</f>
        <v>0.24824312651097508</v>
      </c>
    </row>
    <row r="84" spans="1:6" x14ac:dyDescent="0.3">
      <c r="A84">
        <v>27</v>
      </c>
      <c r="B84">
        <v>50</v>
      </c>
      <c r="C84">
        <v>21</v>
      </c>
      <c r="D84" t="s">
        <v>32</v>
      </c>
      <c r="E84">
        <f t="shared" si="1"/>
        <v>1.0476190476190477</v>
      </c>
    </row>
    <row r="85" spans="1:6" x14ac:dyDescent="0.3">
      <c r="A85">
        <v>11</v>
      </c>
      <c r="B85">
        <v>30</v>
      </c>
      <c r="C85">
        <v>7</v>
      </c>
      <c r="D85" t="s">
        <v>32</v>
      </c>
      <c r="E85">
        <f t="shared" si="1"/>
        <v>2.5714285714285716</v>
      </c>
    </row>
    <row r="86" spans="1:6" x14ac:dyDescent="0.3">
      <c r="A86">
        <v>40</v>
      </c>
      <c r="B86">
        <v>55</v>
      </c>
      <c r="C86">
        <v>62</v>
      </c>
      <c r="D86" t="s">
        <v>38</v>
      </c>
      <c r="E86">
        <f t="shared" si="1"/>
        <v>0.22580645161290322</v>
      </c>
      <c r="F86">
        <f>GEOMEAN(E86:E87)</f>
        <v>0.48637345711392005</v>
      </c>
    </row>
    <row r="87" spans="1:6" x14ac:dyDescent="0.3">
      <c r="A87">
        <v>27</v>
      </c>
      <c r="B87">
        <v>50</v>
      </c>
      <c r="C87">
        <v>21</v>
      </c>
      <c r="D87" t="s">
        <v>32</v>
      </c>
      <c r="E87">
        <f t="shared" si="1"/>
        <v>1.0476190476190477</v>
      </c>
    </row>
    <row r="88" spans="1:6" x14ac:dyDescent="0.3">
      <c r="A88">
        <v>11</v>
      </c>
      <c r="B88">
        <v>30</v>
      </c>
      <c r="C88">
        <v>7</v>
      </c>
      <c r="D88" t="s">
        <v>32</v>
      </c>
      <c r="E88">
        <f t="shared" si="1"/>
        <v>2.5714285714285716</v>
      </c>
    </row>
    <row r="89" spans="1:6" x14ac:dyDescent="0.3">
      <c r="A89">
        <v>15</v>
      </c>
      <c r="B89">
        <v>35</v>
      </c>
      <c r="C89">
        <v>13</v>
      </c>
      <c r="D89" t="s">
        <v>32</v>
      </c>
      <c r="E89">
        <f t="shared" si="1"/>
        <v>1.4615384615384615</v>
      </c>
    </row>
    <row r="90" spans="1:6" x14ac:dyDescent="0.3">
      <c r="A90">
        <v>49</v>
      </c>
      <c r="B90">
        <v>60</v>
      </c>
      <c r="C90">
        <v>89</v>
      </c>
      <c r="D90" t="s">
        <v>38</v>
      </c>
      <c r="E90">
        <f t="shared" si="1"/>
        <v>0.11235955056179775</v>
      </c>
    </row>
    <row r="91" spans="1:6" x14ac:dyDescent="0.3">
      <c r="A91">
        <v>67</v>
      </c>
      <c r="B91">
        <v>75</v>
      </c>
      <c r="C91">
        <v>119</v>
      </c>
      <c r="D91" t="s">
        <v>38</v>
      </c>
      <c r="E91">
        <f t="shared" si="1"/>
        <v>5.8823529411764705E-2</v>
      </c>
    </row>
    <row r="92" spans="1:6" x14ac:dyDescent="0.3">
      <c r="A92">
        <v>78</v>
      </c>
      <c r="B92">
        <v>80</v>
      </c>
      <c r="C92">
        <v>162</v>
      </c>
      <c r="D92" t="s">
        <v>38</v>
      </c>
      <c r="E92">
        <f t="shared" si="1"/>
        <v>6.1728395061728392E-3</v>
      </c>
      <c r="F92">
        <f>GEOMEAN(E92:E93)</f>
        <v>0.12598815766974242</v>
      </c>
    </row>
    <row r="93" spans="1:6" x14ac:dyDescent="0.3">
      <c r="A93">
        <v>11</v>
      </c>
      <c r="B93">
        <v>30</v>
      </c>
      <c r="C93">
        <v>7</v>
      </c>
      <c r="D93" t="s">
        <v>32</v>
      </c>
      <c r="E93">
        <f t="shared" si="1"/>
        <v>2.5714285714285716</v>
      </c>
    </row>
    <row r="94" spans="1:6" x14ac:dyDescent="0.3">
      <c r="A94">
        <v>27</v>
      </c>
      <c r="B94">
        <v>50</v>
      </c>
      <c r="C94">
        <v>21</v>
      </c>
      <c r="D94" t="s">
        <v>32</v>
      </c>
      <c r="E94">
        <f t="shared" si="1"/>
        <v>1.0476190476190477</v>
      </c>
    </row>
    <row r="95" spans="1:6" x14ac:dyDescent="0.3">
      <c r="A95">
        <v>40</v>
      </c>
      <c r="B95">
        <v>55</v>
      </c>
      <c r="C95">
        <v>62</v>
      </c>
      <c r="D95" t="s">
        <v>38</v>
      </c>
      <c r="E95">
        <f t="shared" si="1"/>
        <v>0.22580645161290322</v>
      </c>
    </row>
    <row r="96" spans="1:6" x14ac:dyDescent="0.3">
      <c r="A96">
        <v>49</v>
      </c>
      <c r="B96">
        <v>60</v>
      </c>
      <c r="C96">
        <v>89</v>
      </c>
      <c r="D96" t="s">
        <v>38</v>
      </c>
      <c r="E96">
        <f t="shared" si="1"/>
        <v>0.11235955056179775</v>
      </c>
    </row>
    <row r="97" spans="1:6" x14ac:dyDescent="0.3">
      <c r="A97">
        <v>78</v>
      </c>
      <c r="B97">
        <v>80</v>
      </c>
      <c r="C97">
        <v>162</v>
      </c>
      <c r="D97" t="s">
        <v>38</v>
      </c>
      <c r="E97">
        <f t="shared" si="1"/>
        <v>6.1728395061728392E-3</v>
      </c>
      <c r="F97">
        <f>GEOMEAN(E97:E98)</f>
        <v>9.4983379362790027E-2</v>
      </c>
    </row>
    <row r="98" spans="1:6" x14ac:dyDescent="0.3">
      <c r="A98">
        <v>15</v>
      </c>
      <c r="B98">
        <v>35</v>
      </c>
      <c r="C98">
        <v>13</v>
      </c>
      <c r="D98" t="s">
        <v>32</v>
      </c>
      <c r="E98">
        <f t="shared" si="1"/>
        <v>1.4615384615384615</v>
      </c>
    </row>
    <row r="99" spans="1:6" x14ac:dyDescent="0.3">
      <c r="A99">
        <v>67</v>
      </c>
      <c r="B99">
        <v>75</v>
      </c>
      <c r="C99">
        <v>119</v>
      </c>
      <c r="D99" t="s">
        <v>38</v>
      </c>
      <c r="E99">
        <f t="shared" si="1"/>
        <v>5.8823529411764705E-2</v>
      </c>
    </row>
    <row r="100" spans="1:6" x14ac:dyDescent="0.3">
      <c r="A100">
        <v>40</v>
      </c>
      <c r="B100">
        <v>55</v>
      </c>
      <c r="C100">
        <v>62</v>
      </c>
      <c r="D100" t="s">
        <v>38</v>
      </c>
      <c r="E100">
        <f t="shared" si="1"/>
        <v>0.22580645161290322</v>
      </c>
    </row>
    <row r="101" spans="1:6" x14ac:dyDescent="0.3">
      <c r="A101">
        <v>67</v>
      </c>
      <c r="B101">
        <v>75</v>
      </c>
      <c r="C101">
        <v>119</v>
      </c>
      <c r="D101" t="s">
        <v>38</v>
      </c>
      <c r="E101">
        <f t="shared" si="1"/>
        <v>5.8823529411764705E-2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1_discounting_2025-11-03_15h06.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2025-11-03T09:41:44Z</dcterms:created>
  <dcterms:modified xsi:type="dcterms:W3CDTF">2025-11-03T13:24:25Z</dcterms:modified>
</cp:coreProperties>
</file>