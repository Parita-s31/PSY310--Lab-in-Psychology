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discounting\"/>
    </mc:Choice>
  </mc:AlternateContent>
  <xr:revisionPtr revIDLastSave="0" documentId="13_ncr:1_{75365F0C-4F2E-476E-AD61-B5880531AEF2}" xr6:coauthVersionLast="47" xr6:coauthVersionMax="47" xr10:uidLastSave="{00000000-0000-0000-0000-000000000000}"/>
  <bookViews>
    <workbookView xWindow="-108" yWindow="-108" windowWidth="23256" windowHeight="12456" activeTab="1" xr2:uid="{4B8FB835-015E-4058-8832-3F2BED30FC2C}"/>
  </bookViews>
  <sheets>
    <sheet name="3l_discounting_2025-11-03_15h16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H2" i="2" l="1"/>
  <c r="F98" i="2"/>
  <c r="F94" i="2"/>
  <c r="F91" i="2"/>
  <c r="F82" i="2"/>
  <c r="F79" i="2"/>
  <c r="F76" i="2"/>
  <c r="F74" i="2"/>
  <c r="F70" i="2"/>
  <c r="F66" i="2"/>
  <c r="F63" i="2"/>
  <c r="F60" i="2"/>
  <c r="F55" i="2"/>
  <c r="F50" i="2"/>
  <c r="F47" i="2"/>
  <c r="F44" i="2"/>
  <c r="F36" i="2"/>
  <c r="F32" i="2"/>
  <c r="F25" i="2"/>
  <c r="F21" i="2"/>
  <c r="F19" i="2"/>
  <c r="F13" i="2"/>
  <c r="F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</calcChain>
</file>

<file path=xl/sharedStrings.xml><?xml version="1.0" encoding="utf-8"?>
<sst xmlns="http://schemas.openxmlformats.org/spreadsheetml/2006/main" count="1038" uniqueCount="42">
  <si>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</si>
  <si>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</si>
  <si>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</si>
  <si>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</si>
  <si>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</si>
  <si>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</si>
  <si>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</si>
  <si>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</si>
  <si>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</si>
  <si>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</si>
  <si>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</si>
  <si>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</si>
  <si>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</si>
  <si>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</si>
  <si>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</si>
  <si>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</si>
  <si>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</si>
  <si>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</si>
  <si>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</si>
  <si>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</si>
  <si>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</si>
  <si>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</si>
  <si>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</si>
  <si>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</si>
  <si>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</si>
  <si>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</si>
  <si>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</si>
  <si>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</si>
  <si>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</si>
  <si>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</si>
  <si>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</si>
  <si>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</si>
  <si>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</si>
  <si>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</si>
  <si>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3l</t>
  </si>
  <si>
    <t>2025-11-03_15h16.54.706</t>
  </si>
  <si>
    <t>discounting</t>
  </si>
  <si>
    <t>2025.1.1</t>
  </si>
  <si>
    <t>2025-11-03 15h18.02.412233 +0530</t>
  </si>
  <si>
    <t>l</t>
  </si>
  <si>
    <t>k</t>
  </si>
  <si>
    <t>Mean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</si>
</sst>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0F60-8230-4533-A7D8-2809BF94D7E9}">
  <dimension ref="A1:AF101"/>
  <sheetViews>
    <sheetView topLeftCell="A69" workbookViewId="0">
      <selection activeCell="G1" sqref="G1:G10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78</v>
      </c>
      <c r="B2">
        <v>80</v>
      </c>
      <c r="C2">
        <v>162</v>
      </c>
      <c r="D2">
        <v>0</v>
      </c>
      <c r="E2">
        <v>0</v>
      </c>
      <c r="F2">
        <v>0</v>
      </c>
      <c r="G2" t="s">
        <v>32</v>
      </c>
      <c r="H2">
        <v>2.9497153999982402</v>
      </c>
      <c r="I2" t="s">
        <v>33</v>
      </c>
      <c r="J2">
        <v>0</v>
      </c>
      <c r="K2">
        <v>0</v>
      </c>
      <c r="L2">
        <v>0</v>
      </c>
      <c r="M2">
        <v>6</v>
      </c>
      <c r="N2">
        <v>9.2707000003429102E-2</v>
      </c>
      <c r="P2">
        <v>8.5779999993974301E-2</v>
      </c>
      <c r="Q2">
        <v>9.2707000003429102E-2</v>
      </c>
      <c r="R2">
        <v>1.0046296000073101</v>
      </c>
      <c r="S2">
        <v>1.0046296000073101</v>
      </c>
      <c r="T2">
        <v>1.1049821999913501</v>
      </c>
      <c r="U2">
        <v>3.9640767000091701</v>
      </c>
      <c r="V2" t="s">
        <v>32</v>
      </c>
      <c r="W2">
        <v>2.9497153999982402</v>
      </c>
      <c r="X2" t="s">
        <v>33</v>
      </c>
      <c r="Y2" t="s">
        <v>34</v>
      </c>
      <c r="Z2">
        <v>1</v>
      </c>
      <c r="AA2" t="s">
        <v>35</v>
      </c>
      <c r="AB2" t="s">
        <v>36</v>
      </c>
      <c r="AD2" t="s">
        <v>37</v>
      </c>
      <c r="AE2">
        <v>59.960701756987</v>
      </c>
      <c r="AF2" t="s">
        <v>38</v>
      </c>
    </row>
    <row r="3" spans="1:32" x14ac:dyDescent="0.3">
      <c r="A3">
        <v>49</v>
      </c>
      <c r="B3">
        <v>60</v>
      </c>
      <c r="C3">
        <v>89</v>
      </c>
      <c r="D3">
        <v>1</v>
      </c>
      <c r="E3">
        <v>1</v>
      </c>
      <c r="F3">
        <v>0</v>
      </c>
      <c r="G3" t="s">
        <v>32</v>
      </c>
      <c r="H3">
        <v>1.84730240001226</v>
      </c>
      <c r="I3" t="s">
        <v>33</v>
      </c>
      <c r="J3">
        <v>0</v>
      </c>
      <c r="K3">
        <v>1</v>
      </c>
      <c r="L3">
        <v>1</v>
      </c>
      <c r="M3">
        <v>4</v>
      </c>
      <c r="N3">
        <v>3.97943949999171</v>
      </c>
      <c r="P3">
        <v>3.9761678999930101</v>
      </c>
      <c r="Q3">
        <v>3.97943949999171</v>
      </c>
      <c r="R3">
        <v>4.9719845000072302</v>
      </c>
      <c r="S3">
        <v>4.9719845000072302</v>
      </c>
      <c r="T3">
        <v>4.9884631999884697</v>
      </c>
      <c r="U3">
        <v>6.82239849999314</v>
      </c>
      <c r="V3" t="s">
        <v>32</v>
      </c>
      <c r="W3">
        <v>1.84730240001226</v>
      </c>
      <c r="X3" t="s">
        <v>33</v>
      </c>
      <c r="Y3" t="s">
        <v>34</v>
      </c>
      <c r="Z3">
        <v>1</v>
      </c>
      <c r="AA3" t="s">
        <v>35</v>
      </c>
      <c r="AB3" t="s">
        <v>36</v>
      </c>
      <c r="AD3" t="s">
        <v>37</v>
      </c>
      <c r="AE3">
        <v>59.960701756987</v>
      </c>
      <c r="AF3" t="s">
        <v>38</v>
      </c>
    </row>
    <row r="4" spans="1:32" x14ac:dyDescent="0.3">
      <c r="A4">
        <v>27</v>
      </c>
      <c r="B4">
        <v>50</v>
      </c>
      <c r="C4">
        <v>21</v>
      </c>
      <c r="D4">
        <v>2</v>
      </c>
      <c r="E4">
        <v>2</v>
      </c>
      <c r="F4">
        <v>0</v>
      </c>
      <c r="G4" t="s">
        <v>32</v>
      </c>
      <c r="H4">
        <v>1.3710347000160199</v>
      </c>
      <c r="I4" t="s">
        <v>33</v>
      </c>
      <c r="J4">
        <v>0</v>
      </c>
      <c r="K4">
        <v>2</v>
      </c>
      <c r="L4">
        <v>2</v>
      </c>
      <c r="M4">
        <v>2</v>
      </c>
      <c r="N4">
        <v>6.8383765000035002</v>
      </c>
      <c r="P4">
        <v>6.8314116999972603</v>
      </c>
      <c r="Q4">
        <v>6.8383765000035002</v>
      </c>
      <c r="R4">
        <v>7.82175060000736</v>
      </c>
      <c r="S4">
        <v>7.82175060000736</v>
      </c>
      <c r="T4">
        <v>7.8385864000010699</v>
      </c>
      <c r="U4">
        <v>9.2060857999895198</v>
      </c>
      <c r="V4" t="s">
        <v>32</v>
      </c>
      <c r="W4">
        <v>1.3710347000160199</v>
      </c>
      <c r="X4" t="s">
        <v>33</v>
      </c>
      <c r="Y4" t="s">
        <v>34</v>
      </c>
      <c r="Z4">
        <v>1</v>
      </c>
      <c r="AA4" t="s">
        <v>35</v>
      </c>
      <c r="AB4" t="s">
        <v>36</v>
      </c>
      <c r="AD4" t="s">
        <v>37</v>
      </c>
      <c r="AE4">
        <v>59.960701756987</v>
      </c>
      <c r="AF4" t="s">
        <v>38</v>
      </c>
    </row>
    <row r="5" spans="1:32" x14ac:dyDescent="0.3">
      <c r="A5">
        <v>40</v>
      </c>
      <c r="B5">
        <v>55</v>
      </c>
      <c r="C5">
        <v>62</v>
      </c>
      <c r="D5">
        <v>3</v>
      </c>
      <c r="E5">
        <v>3</v>
      </c>
      <c r="F5">
        <v>0</v>
      </c>
      <c r="G5" t="s">
        <v>39</v>
      </c>
      <c r="H5">
        <v>2.0013525999966002</v>
      </c>
      <c r="I5" t="s">
        <v>33</v>
      </c>
      <c r="J5">
        <v>0</v>
      </c>
      <c r="K5">
        <v>3</v>
      </c>
      <c r="L5">
        <v>3</v>
      </c>
      <c r="M5">
        <v>3</v>
      </c>
      <c r="N5">
        <v>9.2215069000085297</v>
      </c>
      <c r="P5">
        <v>9.2144487999903504</v>
      </c>
      <c r="Q5">
        <v>9.2215069000085297</v>
      </c>
      <c r="R5">
        <v>10.205187499988799</v>
      </c>
      <c r="S5">
        <v>10.205187499988799</v>
      </c>
      <c r="T5">
        <v>10.221820900012901</v>
      </c>
      <c r="U5">
        <v>12.2227974999987</v>
      </c>
      <c r="V5" t="s">
        <v>39</v>
      </c>
      <c r="W5">
        <v>2.0013525999966002</v>
      </c>
      <c r="X5" t="s">
        <v>33</v>
      </c>
      <c r="Y5" t="s">
        <v>34</v>
      </c>
      <c r="Z5">
        <v>1</v>
      </c>
      <c r="AA5" t="s">
        <v>35</v>
      </c>
      <c r="AB5" t="s">
        <v>36</v>
      </c>
      <c r="AD5" t="s">
        <v>37</v>
      </c>
      <c r="AE5">
        <v>59.960701756987</v>
      </c>
      <c r="AF5" t="s">
        <v>38</v>
      </c>
    </row>
    <row r="6" spans="1:32" x14ac:dyDescent="0.3">
      <c r="A6">
        <v>11</v>
      </c>
      <c r="B6">
        <v>30</v>
      </c>
      <c r="C6">
        <v>7</v>
      </c>
      <c r="D6">
        <v>4</v>
      </c>
      <c r="E6">
        <v>4</v>
      </c>
      <c r="F6">
        <v>0</v>
      </c>
      <c r="G6" t="s">
        <v>32</v>
      </c>
      <c r="H6">
        <v>1.12448699999367</v>
      </c>
      <c r="I6" t="s">
        <v>33</v>
      </c>
      <c r="J6">
        <v>0</v>
      </c>
      <c r="K6">
        <v>4</v>
      </c>
      <c r="L6">
        <v>4</v>
      </c>
      <c r="M6">
        <v>0</v>
      </c>
      <c r="N6">
        <v>12.238493699987799</v>
      </c>
      <c r="P6">
        <v>12.232991400000101</v>
      </c>
      <c r="Q6">
        <v>12.238493699987799</v>
      </c>
      <c r="R6">
        <v>13.2385494000045</v>
      </c>
      <c r="S6">
        <v>13.2385494000045</v>
      </c>
      <c r="T6">
        <v>13.2385494000045</v>
      </c>
      <c r="U6">
        <v>14.372475799988001</v>
      </c>
      <c r="V6" t="s">
        <v>32</v>
      </c>
      <c r="W6">
        <v>1.12448699999367</v>
      </c>
      <c r="X6" t="s">
        <v>33</v>
      </c>
      <c r="Y6" t="s">
        <v>34</v>
      </c>
      <c r="Z6">
        <v>1</v>
      </c>
      <c r="AA6" t="s">
        <v>35</v>
      </c>
      <c r="AB6" t="s">
        <v>36</v>
      </c>
      <c r="AD6" t="s">
        <v>37</v>
      </c>
      <c r="AE6">
        <v>59.960701756987</v>
      </c>
      <c r="AF6" t="s">
        <v>38</v>
      </c>
    </row>
    <row r="7" spans="1:32" x14ac:dyDescent="0.3">
      <c r="A7">
        <v>15</v>
      </c>
      <c r="B7">
        <v>35</v>
      </c>
      <c r="C7">
        <v>13</v>
      </c>
      <c r="D7">
        <v>5</v>
      </c>
      <c r="E7">
        <v>5</v>
      </c>
      <c r="F7">
        <v>0</v>
      </c>
      <c r="G7" t="s">
        <v>32</v>
      </c>
      <c r="H7">
        <v>1.1468395999982</v>
      </c>
      <c r="I7" t="s">
        <v>33</v>
      </c>
      <c r="J7">
        <v>0</v>
      </c>
      <c r="K7">
        <v>5</v>
      </c>
      <c r="L7">
        <v>5</v>
      </c>
      <c r="M7">
        <v>1</v>
      </c>
      <c r="N7">
        <v>14.388772400008699</v>
      </c>
      <c r="P7">
        <v>14.377941999991799</v>
      </c>
      <c r="Q7">
        <v>14.388772400008699</v>
      </c>
      <c r="R7">
        <v>15.3718369000125</v>
      </c>
      <c r="S7">
        <v>15.3718369000125</v>
      </c>
      <c r="T7">
        <v>15.3885541000054</v>
      </c>
      <c r="U7">
        <v>16.522500699997099</v>
      </c>
      <c r="V7" t="s">
        <v>32</v>
      </c>
      <c r="W7">
        <v>1.1468395999982</v>
      </c>
      <c r="X7" t="s">
        <v>33</v>
      </c>
      <c r="Y7" t="s">
        <v>34</v>
      </c>
      <c r="Z7">
        <v>1</v>
      </c>
      <c r="AA7" t="s">
        <v>35</v>
      </c>
      <c r="AB7" t="s">
        <v>36</v>
      </c>
      <c r="AD7" t="s">
        <v>37</v>
      </c>
      <c r="AE7">
        <v>59.960701756987</v>
      </c>
      <c r="AF7" t="s">
        <v>38</v>
      </c>
    </row>
    <row r="8" spans="1:32" x14ac:dyDescent="0.3">
      <c r="A8">
        <v>67</v>
      </c>
      <c r="B8">
        <v>75</v>
      </c>
      <c r="C8">
        <v>119</v>
      </c>
      <c r="D8">
        <v>6</v>
      </c>
      <c r="E8">
        <v>6</v>
      </c>
      <c r="F8">
        <v>0</v>
      </c>
      <c r="G8" t="s">
        <v>32</v>
      </c>
      <c r="H8">
        <v>2.1113002000201901</v>
      </c>
      <c r="I8" t="s">
        <v>33</v>
      </c>
      <c r="J8">
        <v>0</v>
      </c>
      <c r="K8">
        <v>6</v>
      </c>
      <c r="L8">
        <v>6</v>
      </c>
      <c r="M8">
        <v>5</v>
      </c>
      <c r="N8">
        <v>16.538632200012199</v>
      </c>
      <c r="P8">
        <v>16.5289205000153</v>
      </c>
      <c r="Q8">
        <v>16.538632200012199</v>
      </c>
      <c r="R8">
        <v>17.521690299996401</v>
      </c>
      <c r="S8">
        <v>17.521690299996401</v>
      </c>
      <c r="T8">
        <v>17.538566400005902</v>
      </c>
      <c r="U8">
        <v>19.639531199994899</v>
      </c>
      <c r="V8" t="s">
        <v>32</v>
      </c>
      <c r="W8">
        <v>2.1113002000201901</v>
      </c>
      <c r="X8" t="s">
        <v>33</v>
      </c>
      <c r="Y8" t="s">
        <v>34</v>
      </c>
      <c r="Z8">
        <v>1</v>
      </c>
      <c r="AA8" t="s">
        <v>35</v>
      </c>
      <c r="AB8" t="s">
        <v>36</v>
      </c>
      <c r="AD8" t="s">
        <v>37</v>
      </c>
      <c r="AE8">
        <v>59.960701756987</v>
      </c>
      <c r="AF8" t="s">
        <v>38</v>
      </c>
    </row>
    <row r="9" spans="1:32" x14ac:dyDescent="0.3">
      <c r="A9">
        <v>27</v>
      </c>
      <c r="B9">
        <v>50</v>
      </c>
      <c r="C9">
        <v>21</v>
      </c>
      <c r="D9">
        <v>7</v>
      </c>
      <c r="E9">
        <v>0</v>
      </c>
      <c r="F9">
        <v>1</v>
      </c>
      <c r="G9" t="s">
        <v>32</v>
      </c>
      <c r="H9">
        <v>2.8227692999935199</v>
      </c>
      <c r="I9" t="s">
        <v>33</v>
      </c>
      <c r="J9">
        <v>1</v>
      </c>
      <c r="K9">
        <v>0</v>
      </c>
      <c r="L9">
        <v>7</v>
      </c>
      <c r="M9">
        <v>2</v>
      </c>
      <c r="N9">
        <v>19.655050700006498</v>
      </c>
      <c r="P9">
        <v>19.6461262000084</v>
      </c>
      <c r="Q9">
        <v>19.655050700006498</v>
      </c>
      <c r="R9">
        <v>20.655109899991601</v>
      </c>
      <c r="S9">
        <v>20.655109899991601</v>
      </c>
      <c r="T9">
        <v>20.655109899991601</v>
      </c>
      <c r="U9">
        <v>23.489528200007001</v>
      </c>
      <c r="V9" t="s">
        <v>32</v>
      </c>
      <c r="W9">
        <v>2.8227692999935199</v>
      </c>
      <c r="X9" t="s">
        <v>33</v>
      </c>
      <c r="Y9" t="s">
        <v>34</v>
      </c>
      <c r="Z9">
        <v>1</v>
      </c>
      <c r="AA9" t="s">
        <v>35</v>
      </c>
      <c r="AB9" t="s">
        <v>36</v>
      </c>
      <c r="AD9" t="s">
        <v>37</v>
      </c>
      <c r="AE9">
        <v>59.960701756987</v>
      </c>
      <c r="AF9" t="s">
        <v>38</v>
      </c>
    </row>
    <row r="10" spans="1:32" x14ac:dyDescent="0.3">
      <c r="A10">
        <v>49</v>
      </c>
      <c r="B10">
        <v>60</v>
      </c>
      <c r="C10">
        <v>89</v>
      </c>
      <c r="D10">
        <v>8</v>
      </c>
      <c r="E10">
        <v>1</v>
      </c>
      <c r="F10">
        <v>1</v>
      </c>
      <c r="G10" t="s">
        <v>32</v>
      </c>
      <c r="H10">
        <v>1.29897089998121</v>
      </c>
      <c r="I10" t="s">
        <v>33</v>
      </c>
      <c r="J10">
        <v>1</v>
      </c>
      <c r="K10">
        <v>1</v>
      </c>
      <c r="L10">
        <v>8</v>
      </c>
      <c r="M10">
        <v>4</v>
      </c>
      <c r="N10">
        <v>23.5053286000038</v>
      </c>
      <c r="P10">
        <v>23.4960307000146</v>
      </c>
      <c r="Q10">
        <v>23.5053286000038</v>
      </c>
      <c r="R10">
        <v>24.488945799996099</v>
      </c>
      <c r="S10">
        <v>24.488945799996099</v>
      </c>
      <c r="T10">
        <v>24.505103900009999</v>
      </c>
      <c r="U10">
        <v>25.789080499991499</v>
      </c>
      <c r="V10" t="s">
        <v>32</v>
      </c>
      <c r="W10">
        <v>1.29897089998121</v>
      </c>
      <c r="X10" t="s">
        <v>33</v>
      </c>
      <c r="Y10" t="s">
        <v>34</v>
      </c>
      <c r="Z10">
        <v>1</v>
      </c>
      <c r="AA10" t="s">
        <v>35</v>
      </c>
      <c r="AB10" t="s">
        <v>36</v>
      </c>
      <c r="AD10" t="s">
        <v>37</v>
      </c>
      <c r="AE10">
        <v>59.960701756987</v>
      </c>
      <c r="AF10" t="s">
        <v>38</v>
      </c>
    </row>
    <row r="11" spans="1:32" x14ac:dyDescent="0.3">
      <c r="A11">
        <v>67</v>
      </c>
      <c r="B11">
        <v>75</v>
      </c>
      <c r="C11">
        <v>119</v>
      </c>
      <c r="D11">
        <v>9</v>
      </c>
      <c r="E11">
        <v>2</v>
      </c>
      <c r="F11">
        <v>1</v>
      </c>
      <c r="G11" t="s">
        <v>32</v>
      </c>
      <c r="H11">
        <v>2.04955290001817</v>
      </c>
      <c r="I11" t="s">
        <v>33</v>
      </c>
      <c r="J11">
        <v>1</v>
      </c>
      <c r="K11">
        <v>2</v>
      </c>
      <c r="L11">
        <v>9</v>
      </c>
      <c r="M11">
        <v>5</v>
      </c>
      <c r="N11">
        <v>25.804936700005701</v>
      </c>
      <c r="P11">
        <v>25.7966101999918</v>
      </c>
      <c r="Q11">
        <v>25.804936700005701</v>
      </c>
      <c r="R11">
        <v>26.7885774000023</v>
      </c>
      <c r="S11">
        <v>26.7885774000023</v>
      </c>
      <c r="T11">
        <v>26.805116800009198</v>
      </c>
      <c r="U11">
        <v>28.839200699992901</v>
      </c>
      <c r="V11" t="s">
        <v>32</v>
      </c>
      <c r="W11">
        <v>2.04955290001817</v>
      </c>
      <c r="X11" t="s">
        <v>33</v>
      </c>
      <c r="Y11" t="s">
        <v>34</v>
      </c>
      <c r="Z11">
        <v>1</v>
      </c>
      <c r="AA11" t="s">
        <v>35</v>
      </c>
      <c r="AB11" t="s">
        <v>36</v>
      </c>
      <c r="AD11" t="s">
        <v>37</v>
      </c>
      <c r="AE11">
        <v>59.960701756987</v>
      </c>
      <c r="AF11" t="s">
        <v>38</v>
      </c>
    </row>
    <row r="12" spans="1:32" x14ac:dyDescent="0.3">
      <c r="A12">
        <v>78</v>
      </c>
      <c r="B12">
        <v>80</v>
      </c>
      <c r="C12">
        <v>162</v>
      </c>
      <c r="D12">
        <v>10</v>
      </c>
      <c r="E12">
        <v>3</v>
      </c>
      <c r="F12">
        <v>1</v>
      </c>
      <c r="G12" t="s">
        <v>32</v>
      </c>
      <c r="H12">
        <v>3.12734539998928</v>
      </c>
      <c r="I12" t="s">
        <v>33</v>
      </c>
      <c r="J12">
        <v>1</v>
      </c>
      <c r="K12">
        <v>3</v>
      </c>
      <c r="L12">
        <v>10</v>
      </c>
      <c r="M12">
        <v>6</v>
      </c>
      <c r="N12">
        <v>28.854960800002999</v>
      </c>
      <c r="P12">
        <v>28.845473800000001</v>
      </c>
      <c r="Q12">
        <v>28.854960800002999</v>
      </c>
      <c r="R12">
        <v>29.8386057000025</v>
      </c>
      <c r="S12">
        <v>29.8386057000025</v>
      </c>
      <c r="T12">
        <v>29.855119899992101</v>
      </c>
      <c r="U12">
        <v>32.972525399993103</v>
      </c>
      <c r="V12" t="s">
        <v>32</v>
      </c>
      <c r="W12">
        <v>3.12734539998928</v>
      </c>
      <c r="X12" t="s">
        <v>33</v>
      </c>
      <c r="Y12" t="s">
        <v>34</v>
      </c>
      <c r="Z12">
        <v>1</v>
      </c>
      <c r="AA12" t="s">
        <v>35</v>
      </c>
      <c r="AB12" t="s">
        <v>36</v>
      </c>
      <c r="AD12" t="s">
        <v>37</v>
      </c>
      <c r="AE12">
        <v>59.960701756987</v>
      </c>
      <c r="AF12" t="s">
        <v>38</v>
      </c>
    </row>
    <row r="13" spans="1:32" x14ac:dyDescent="0.3">
      <c r="A13">
        <v>40</v>
      </c>
      <c r="B13">
        <v>55</v>
      </c>
      <c r="C13">
        <v>62</v>
      </c>
      <c r="D13">
        <v>11</v>
      </c>
      <c r="E13">
        <v>4</v>
      </c>
      <c r="F13">
        <v>1</v>
      </c>
      <c r="G13" t="s">
        <v>32</v>
      </c>
      <c r="H13">
        <v>1.93810369999846</v>
      </c>
      <c r="I13" t="s">
        <v>33</v>
      </c>
      <c r="J13">
        <v>1</v>
      </c>
      <c r="K13">
        <v>4</v>
      </c>
      <c r="L13">
        <v>11</v>
      </c>
      <c r="M13">
        <v>3</v>
      </c>
      <c r="N13">
        <v>32.988469500007298</v>
      </c>
      <c r="P13">
        <v>32.9793209999916</v>
      </c>
      <c r="Q13">
        <v>32.988469500007298</v>
      </c>
      <c r="R13">
        <v>33.971582400001303</v>
      </c>
      <c r="S13">
        <v>33.971582400001303</v>
      </c>
      <c r="T13">
        <v>33.988043999997899</v>
      </c>
      <c r="U13">
        <v>35.922719099995398</v>
      </c>
      <c r="V13" t="s">
        <v>32</v>
      </c>
      <c r="W13">
        <v>1.93810369999846</v>
      </c>
      <c r="X13" t="s">
        <v>33</v>
      </c>
      <c r="Y13" t="s">
        <v>34</v>
      </c>
      <c r="Z13">
        <v>1</v>
      </c>
      <c r="AA13" t="s">
        <v>35</v>
      </c>
      <c r="AB13" t="s">
        <v>36</v>
      </c>
      <c r="AD13" t="s">
        <v>37</v>
      </c>
      <c r="AE13">
        <v>59.960701756987</v>
      </c>
      <c r="AF13" t="s">
        <v>38</v>
      </c>
    </row>
    <row r="14" spans="1:32" x14ac:dyDescent="0.3">
      <c r="A14">
        <v>11</v>
      </c>
      <c r="B14">
        <v>30</v>
      </c>
      <c r="C14">
        <v>7</v>
      </c>
      <c r="D14">
        <v>12</v>
      </c>
      <c r="E14">
        <v>5</v>
      </c>
      <c r="F14">
        <v>1</v>
      </c>
      <c r="G14" t="s">
        <v>39</v>
      </c>
      <c r="H14">
        <v>2.5657997999805899</v>
      </c>
      <c r="I14" t="s">
        <v>33</v>
      </c>
      <c r="J14">
        <v>1</v>
      </c>
      <c r="K14">
        <v>5</v>
      </c>
      <c r="L14">
        <v>12</v>
      </c>
      <c r="M14">
        <v>0</v>
      </c>
      <c r="N14">
        <v>35.938391100003997</v>
      </c>
      <c r="P14">
        <v>35.9290975999902</v>
      </c>
      <c r="Q14">
        <v>35.938391100003997</v>
      </c>
      <c r="R14">
        <v>36.938402300001997</v>
      </c>
      <c r="S14">
        <v>36.938402300001997</v>
      </c>
      <c r="T14">
        <v>36.938402300001997</v>
      </c>
      <c r="U14">
        <v>39.505969099991397</v>
      </c>
      <c r="V14" t="s">
        <v>39</v>
      </c>
      <c r="W14">
        <v>2.5657997999805899</v>
      </c>
      <c r="X14" t="s">
        <v>33</v>
      </c>
      <c r="Y14" t="s">
        <v>34</v>
      </c>
      <c r="Z14">
        <v>1</v>
      </c>
      <c r="AA14" t="s">
        <v>35</v>
      </c>
      <c r="AB14" t="s">
        <v>36</v>
      </c>
      <c r="AD14" t="s">
        <v>37</v>
      </c>
      <c r="AE14">
        <v>59.960701756987</v>
      </c>
      <c r="AF14" t="s">
        <v>38</v>
      </c>
    </row>
    <row r="15" spans="1:32" x14ac:dyDescent="0.3">
      <c r="A15">
        <v>15</v>
      </c>
      <c r="B15">
        <v>35</v>
      </c>
      <c r="C15">
        <v>13</v>
      </c>
      <c r="D15">
        <v>13</v>
      </c>
      <c r="E15">
        <v>6</v>
      </c>
      <c r="F15">
        <v>1</v>
      </c>
      <c r="G15" t="s">
        <v>39</v>
      </c>
      <c r="H15">
        <v>1.8846902000077499</v>
      </c>
      <c r="I15" t="s">
        <v>33</v>
      </c>
      <c r="J15">
        <v>1</v>
      </c>
      <c r="K15">
        <v>6</v>
      </c>
      <c r="L15">
        <v>13</v>
      </c>
      <c r="M15">
        <v>1</v>
      </c>
      <c r="N15">
        <v>39.5217396999942</v>
      </c>
      <c r="P15">
        <v>39.511743600014597</v>
      </c>
      <c r="Q15">
        <v>39.5217396999942</v>
      </c>
      <c r="R15">
        <v>40.505128799995802</v>
      </c>
      <c r="S15">
        <v>40.505128799995802</v>
      </c>
      <c r="T15">
        <v>40.522080299997398</v>
      </c>
      <c r="U15">
        <v>42.405929800006497</v>
      </c>
      <c r="V15" t="s">
        <v>39</v>
      </c>
      <c r="W15">
        <v>1.8846902000077499</v>
      </c>
      <c r="X15" t="s">
        <v>33</v>
      </c>
      <c r="Y15" t="s">
        <v>34</v>
      </c>
      <c r="Z15">
        <v>1</v>
      </c>
      <c r="AA15" t="s">
        <v>35</v>
      </c>
      <c r="AB15" t="s">
        <v>36</v>
      </c>
      <c r="AD15" t="s">
        <v>37</v>
      </c>
      <c r="AE15">
        <v>59.960701756987</v>
      </c>
      <c r="AF15" t="s">
        <v>38</v>
      </c>
    </row>
    <row r="16" spans="1:32" x14ac:dyDescent="0.3">
      <c r="A16">
        <v>11</v>
      </c>
      <c r="B16">
        <v>30</v>
      </c>
      <c r="C16">
        <v>7</v>
      </c>
      <c r="D16">
        <v>14</v>
      </c>
      <c r="E16">
        <v>0</v>
      </c>
      <c r="F16">
        <v>2</v>
      </c>
      <c r="G16" t="s">
        <v>39</v>
      </c>
      <c r="H16">
        <v>1.7744689999963099</v>
      </c>
      <c r="I16" t="s">
        <v>33</v>
      </c>
      <c r="J16">
        <v>2</v>
      </c>
      <c r="K16">
        <v>0</v>
      </c>
      <c r="L16">
        <v>14</v>
      </c>
      <c r="M16">
        <v>0</v>
      </c>
      <c r="N16">
        <v>42.421515199996001</v>
      </c>
      <c r="P16">
        <v>42.412218200013697</v>
      </c>
      <c r="Q16">
        <v>42.421515199996001</v>
      </c>
      <c r="R16">
        <v>43.421418599988101</v>
      </c>
      <c r="S16">
        <v>43.421418599988101</v>
      </c>
      <c r="T16">
        <v>43.421418599988101</v>
      </c>
      <c r="U16">
        <v>45.205793600005499</v>
      </c>
      <c r="V16" t="s">
        <v>39</v>
      </c>
      <c r="W16">
        <v>1.7744689999963099</v>
      </c>
      <c r="X16" t="s">
        <v>33</v>
      </c>
      <c r="Y16" t="s">
        <v>34</v>
      </c>
      <c r="Z16">
        <v>1</v>
      </c>
      <c r="AA16" t="s">
        <v>35</v>
      </c>
      <c r="AB16" t="s">
        <v>36</v>
      </c>
      <c r="AD16" t="s">
        <v>37</v>
      </c>
      <c r="AE16">
        <v>59.960701756987</v>
      </c>
      <c r="AF16" t="s">
        <v>38</v>
      </c>
    </row>
    <row r="17" spans="1:32" x14ac:dyDescent="0.3">
      <c r="A17">
        <v>40</v>
      </c>
      <c r="B17">
        <v>55</v>
      </c>
      <c r="C17">
        <v>62</v>
      </c>
      <c r="D17">
        <v>15</v>
      </c>
      <c r="E17">
        <v>1</v>
      </c>
      <c r="F17">
        <v>2</v>
      </c>
      <c r="G17" t="s">
        <v>32</v>
      </c>
      <c r="H17">
        <v>2.4158037000161099</v>
      </c>
      <c r="I17" t="s">
        <v>33</v>
      </c>
      <c r="J17">
        <v>2</v>
      </c>
      <c r="K17">
        <v>1</v>
      </c>
      <c r="L17">
        <v>15</v>
      </c>
      <c r="M17">
        <v>3</v>
      </c>
      <c r="N17">
        <v>45.221812200004898</v>
      </c>
      <c r="P17">
        <v>45.213405199989197</v>
      </c>
      <c r="Q17">
        <v>45.221812200004898</v>
      </c>
      <c r="R17">
        <v>46.205083800014101</v>
      </c>
      <c r="S17">
        <v>46.205083800014101</v>
      </c>
      <c r="T17">
        <v>46.221611799992303</v>
      </c>
      <c r="U17">
        <v>48.622497200005398</v>
      </c>
      <c r="V17" t="s">
        <v>32</v>
      </c>
      <c r="W17">
        <v>2.4158037000161099</v>
      </c>
      <c r="X17" t="s">
        <v>33</v>
      </c>
      <c r="Y17" t="s">
        <v>34</v>
      </c>
      <c r="Z17">
        <v>1</v>
      </c>
      <c r="AA17" t="s">
        <v>35</v>
      </c>
      <c r="AB17" t="s">
        <v>36</v>
      </c>
      <c r="AD17" t="s">
        <v>37</v>
      </c>
      <c r="AE17">
        <v>59.960701756987</v>
      </c>
      <c r="AF17" t="s">
        <v>38</v>
      </c>
    </row>
    <row r="18" spans="1:32" x14ac:dyDescent="0.3">
      <c r="A18">
        <v>78</v>
      </c>
      <c r="B18">
        <v>80</v>
      </c>
      <c r="C18">
        <v>162</v>
      </c>
      <c r="D18">
        <v>16</v>
      </c>
      <c r="E18">
        <v>2</v>
      </c>
      <c r="F18">
        <v>2</v>
      </c>
      <c r="G18" t="s">
        <v>32</v>
      </c>
      <c r="H18">
        <v>0.93238650000421297</v>
      </c>
      <c r="I18" t="s">
        <v>33</v>
      </c>
      <c r="J18">
        <v>2</v>
      </c>
      <c r="K18">
        <v>2</v>
      </c>
      <c r="L18">
        <v>16</v>
      </c>
      <c r="M18">
        <v>6</v>
      </c>
      <c r="N18">
        <v>48.638397300004698</v>
      </c>
      <c r="P18">
        <v>48.628747899987502</v>
      </c>
      <c r="Q18">
        <v>48.638397300004698</v>
      </c>
      <c r="R18">
        <v>49.621976199996404</v>
      </c>
      <c r="S18">
        <v>49.621976199996404</v>
      </c>
      <c r="T18">
        <v>49.638844500004701</v>
      </c>
      <c r="U18">
        <v>50.555803199997101</v>
      </c>
      <c r="V18" t="s">
        <v>32</v>
      </c>
      <c r="W18">
        <v>0.93238650000421297</v>
      </c>
      <c r="X18" t="s">
        <v>33</v>
      </c>
      <c r="Y18" t="s">
        <v>34</v>
      </c>
      <c r="Z18">
        <v>1</v>
      </c>
      <c r="AA18" t="s">
        <v>35</v>
      </c>
      <c r="AB18" t="s">
        <v>36</v>
      </c>
      <c r="AD18" t="s">
        <v>37</v>
      </c>
      <c r="AE18">
        <v>59.960701756987</v>
      </c>
      <c r="AF18" t="s">
        <v>38</v>
      </c>
    </row>
    <row r="19" spans="1:32" x14ac:dyDescent="0.3">
      <c r="A19">
        <v>27</v>
      </c>
      <c r="B19">
        <v>50</v>
      </c>
      <c r="C19">
        <v>21</v>
      </c>
      <c r="D19">
        <v>17</v>
      </c>
      <c r="E19">
        <v>3</v>
      </c>
      <c r="F19">
        <v>2</v>
      </c>
      <c r="G19" t="s">
        <v>32</v>
      </c>
      <c r="H19">
        <v>2.3161464000004299</v>
      </c>
      <c r="I19" t="s">
        <v>33</v>
      </c>
      <c r="J19">
        <v>2</v>
      </c>
      <c r="K19">
        <v>3</v>
      </c>
      <c r="L19">
        <v>17</v>
      </c>
      <c r="M19">
        <v>2</v>
      </c>
      <c r="N19">
        <v>50.571546899998701</v>
      </c>
      <c r="P19">
        <v>50.565732199989696</v>
      </c>
      <c r="Q19">
        <v>50.571546899998701</v>
      </c>
      <c r="R19">
        <v>51.554958799999397</v>
      </c>
      <c r="S19">
        <v>51.554958799999397</v>
      </c>
      <c r="T19">
        <v>51.571648999990401</v>
      </c>
      <c r="U19">
        <v>53.872508200001903</v>
      </c>
      <c r="V19" t="s">
        <v>32</v>
      </c>
      <c r="W19">
        <v>2.3161464000004299</v>
      </c>
      <c r="X19" t="s">
        <v>33</v>
      </c>
      <c r="Y19" t="s">
        <v>34</v>
      </c>
      <c r="Z19">
        <v>1</v>
      </c>
      <c r="AA19" t="s">
        <v>35</v>
      </c>
      <c r="AB19" t="s">
        <v>36</v>
      </c>
      <c r="AD19" t="s">
        <v>37</v>
      </c>
      <c r="AE19">
        <v>59.960701756987</v>
      </c>
      <c r="AF19" t="s">
        <v>38</v>
      </c>
    </row>
    <row r="20" spans="1:32" x14ac:dyDescent="0.3">
      <c r="A20">
        <v>15</v>
      </c>
      <c r="B20">
        <v>35</v>
      </c>
      <c r="C20">
        <v>13</v>
      </c>
      <c r="D20">
        <v>18</v>
      </c>
      <c r="E20">
        <v>4</v>
      </c>
      <c r="F20">
        <v>2</v>
      </c>
      <c r="G20" t="s">
        <v>39</v>
      </c>
      <c r="H20">
        <v>1.9369320999830899</v>
      </c>
      <c r="I20" t="s">
        <v>33</v>
      </c>
      <c r="J20">
        <v>2</v>
      </c>
      <c r="K20">
        <v>4</v>
      </c>
      <c r="L20">
        <v>18</v>
      </c>
      <c r="M20">
        <v>1</v>
      </c>
      <c r="N20">
        <v>53.888461700000299</v>
      </c>
      <c r="P20">
        <v>53.879031699994798</v>
      </c>
      <c r="Q20">
        <v>53.888461700000299</v>
      </c>
      <c r="R20">
        <v>54.871850800001901</v>
      </c>
      <c r="S20">
        <v>54.871850800001901</v>
      </c>
      <c r="T20">
        <v>54.888226999988497</v>
      </c>
      <c r="U20">
        <v>56.822490899998201</v>
      </c>
      <c r="V20" t="s">
        <v>39</v>
      </c>
      <c r="W20">
        <v>1.9369320999830899</v>
      </c>
      <c r="X20" t="s">
        <v>33</v>
      </c>
      <c r="Y20" t="s">
        <v>34</v>
      </c>
      <c r="Z20">
        <v>1</v>
      </c>
      <c r="AA20" t="s">
        <v>35</v>
      </c>
      <c r="AB20" t="s">
        <v>36</v>
      </c>
      <c r="AD20" t="s">
        <v>37</v>
      </c>
      <c r="AE20">
        <v>59.960701756987</v>
      </c>
      <c r="AF20" t="s">
        <v>38</v>
      </c>
    </row>
    <row r="21" spans="1:32" x14ac:dyDescent="0.3">
      <c r="A21">
        <v>49</v>
      </c>
      <c r="B21">
        <v>60</v>
      </c>
      <c r="C21">
        <v>89</v>
      </c>
      <c r="D21">
        <v>19</v>
      </c>
      <c r="E21">
        <v>5</v>
      </c>
      <c r="F21">
        <v>2</v>
      </c>
      <c r="G21" t="s">
        <v>32</v>
      </c>
      <c r="H21">
        <v>3.2096457000006899</v>
      </c>
      <c r="I21" t="s">
        <v>33</v>
      </c>
      <c r="J21">
        <v>2</v>
      </c>
      <c r="K21">
        <v>5</v>
      </c>
      <c r="L21">
        <v>19</v>
      </c>
      <c r="M21">
        <v>4</v>
      </c>
      <c r="N21">
        <v>56.927390700002398</v>
      </c>
      <c r="P21">
        <v>56.923768000007797</v>
      </c>
      <c r="Q21">
        <v>56.927390700002398</v>
      </c>
      <c r="R21">
        <v>57.8214741999981</v>
      </c>
      <c r="S21">
        <v>57.8214741999981</v>
      </c>
      <c r="T21">
        <v>57.938422600011101</v>
      </c>
      <c r="U21">
        <v>61.0390786000061</v>
      </c>
      <c r="V21" t="s">
        <v>32</v>
      </c>
      <c r="W21">
        <v>3.2096457000006899</v>
      </c>
      <c r="X21" t="s">
        <v>33</v>
      </c>
      <c r="Y21" t="s">
        <v>34</v>
      </c>
      <c r="Z21">
        <v>1</v>
      </c>
      <c r="AA21" t="s">
        <v>35</v>
      </c>
      <c r="AB21" t="s">
        <v>36</v>
      </c>
      <c r="AD21" t="s">
        <v>37</v>
      </c>
      <c r="AE21">
        <v>59.960701756987</v>
      </c>
      <c r="AF21" t="s">
        <v>38</v>
      </c>
    </row>
    <row r="22" spans="1:32" x14ac:dyDescent="0.3">
      <c r="A22">
        <v>67</v>
      </c>
      <c r="B22">
        <v>75</v>
      </c>
      <c r="C22">
        <v>119</v>
      </c>
      <c r="D22">
        <v>20</v>
      </c>
      <c r="E22">
        <v>6</v>
      </c>
      <c r="F22">
        <v>2</v>
      </c>
      <c r="G22" t="s">
        <v>39</v>
      </c>
      <c r="H22">
        <v>2.9923537999857199</v>
      </c>
      <c r="I22" t="s">
        <v>33</v>
      </c>
      <c r="J22">
        <v>2</v>
      </c>
      <c r="K22">
        <v>6</v>
      </c>
      <c r="L22">
        <v>20</v>
      </c>
      <c r="M22">
        <v>5</v>
      </c>
      <c r="N22">
        <v>61.055066100001497</v>
      </c>
      <c r="P22">
        <v>61.045203999994499</v>
      </c>
      <c r="Q22">
        <v>61.055066100001497</v>
      </c>
      <c r="R22">
        <v>62.038479000009801</v>
      </c>
      <c r="S22">
        <v>62.038479000009801</v>
      </c>
      <c r="T22">
        <v>62.055240199988397</v>
      </c>
      <c r="U22">
        <v>65.039059800008502</v>
      </c>
      <c r="V22" t="s">
        <v>39</v>
      </c>
      <c r="W22">
        <v>2.9923537999857199</v>
      </c>
      <c r="X22" t="s">
        <v>33</v>
      </c>
      <c r="Y22" t="s">
        <v>34</v>
      </c>
      <c r="Z22">
        <v>1</v>
      </c>
      <c r="AA22" t="s">
        <v>35</v>
      </c>
      <c r="AB22" t="s">
        <v>36</v>
      </c>
      <c r="AD22" t="s">
        <v>37</v>
      </c>
      <c r="AE22">
        <v>59.960701756987</v>
      </c>
      <c r="AF22" t="s">
        <v>38</v>
      </c>
    </row>
    <row r="23" spans="1:32" x14ac:dyDescent="0.3">
      <c r="A23">
        <v>78</v>
      </c>
      <c r="B23">
        <v>80</v>
      </c>
      <c r="C23">
        <v>162</v>
      </c>
      <c r="D23">
        <v>21</v>
      </c>
      <c r="E23">
        <v>0</v>
      </c>
      <c r="F23">
        <v>3</v>
      </c>
      <c r="G23" t="s">
        <v>32</v>
      </c>
      <c r="H23">
        <v>1.66582789999665</v>
      </c>
      <c r="I23" t="s">
        <v>33</v>
      </c>
      <c r="J23">
        <v>3</v>
      </c>
      <c r="K23">
        <v>0</v>
      </c>
      <c r="L23">
        <v>21</v>
      </c>
      <c r="M23">
        <v>6</v>
      </c>
      <c r="N23">
        <v>65.0551911999937</v>
      </c>
      <c r="P23">
        <v>65.046248200000207</v>
      </c>
      <c r="Q23">
        <v>65.0551911999937</v>
      </c>
      <c r="R23">
        <v>66.0384780000022</v>
      </c>
      <c r="S23">
        <v>66.0384780000022</v>
      </c>
      <c r="T23">
        <v>66.055163599987196</v>
      </c>
      <c r="U23">
        <v>67.705970600014496</v>
      </c>
      <c r="V23" t="s">
        <v>32</v>
      </c>
      <c r="W23">
        <v>1.66582789999665</v>
      </c>
      <c r="X23" t="s">
        <v>33</v>
      </c>
      <c r="Y23" t="s">
        <v>34</v>
      </c>
      <c r="Z23">
        <v>1</v>
      </c>
      <c r="AA23" t="s">
        <v>35</v>
      </c>
      <c r="AB23" t="s">
        <v>36</v>
      </c>
      <c r="AD23" t="s">
        <v>37</v>
      </c>
      <c r="AE23">
        <v>59.960701756987</v>
      </c>
      <c r="AF23" t="s">
        <v>38</v>
      </c>
    </row>
    <row r="24" spans="1:32" x14ac:dyDescent="0.3">
      <c r="A24">
        <v>67</v>
      </c>
      <c r="B24">
        <v>75</v>
      </c>
      <c r="C24">
        <v>119</v>
      </c>
      <c r="D24">
        <v>22</v>
      </c>
      <c r="E24">
        <v>1</v>
      </c>
      <c r="F24">
        <v>3</v>
      </c>
      <c r="G24" t="s">
        <v>32</v>
      </c>
      <c r="H24">
        <v>0.91859130002558198</v>
      </c>
      <c r="I24" t="s">
        <v>33</v>
      </c>
      <c r="J24">
        <v>3</v>
      </c>
      <c r="K24">
        <v>1</v>
      </c>
      <c r="L24">
        <v>22</v>
      </c>
      <c r="M24">
        <v>5</v>
      </c>
      <c r="N24">
        <v>67.721569699991903</v>
      </c>
      <c r="P24">
        <v>67.712596800003595</v>
      </c>
      <c r="Q24">
        <v>67.721569699991903</v>
      </c>
      <c r="R24">
        <v>68.722154099988899</v>
      </c>
      <c r="S24">
        <v>68.722154099988899</v>
      </c>
      <c r="T24">
        <v>68.722154099988899</v>
      </c>
      <c r="U24">
        <v>69.655955800000797</v>
      </c>
      <c r="V24" t="s">
        <v>32</v>
      </c>
      <c r="W24">
        <v>0.91859130002558198</v>
      </c>
      <c r="X24" t="s">
        <v>33</v>
      </c>
      <c r="Y24" t="s">
        <v>34</v>
      </c>
      <c r="Z24">
        <v>1</v>
      </c>
      <c r="AA24" t="s">
        <v>35</v>
      </c>
      <c r="AB24" t="s">
        <v>36</v>
      </c>
      <c r="AD24" t="s">
        <v>37</v>
      </c>
      <c r="AE24">
        <v>59.960701756987</v>
      </c>
      <c r="AF24" t="s">
        <v>38</v>
      </c>
    </row>
    <row r="25" spans="1:32" x14ac:dyDescent="0.3">
      <c r="A25">
        <v>15</v>
      </c>
      <c r="B25">
        <v>35</v>
      </c>
      <c r="C25">
        <v>13</v>
      </c>
      <c r="D25">
        <v>23</v>
      </c>
      <c r="E25">
        <v>2</v>
      </c>
      <c r="F25">
        <v>3</v>
      </c>
      <c r="G25" t="s">
        <v>32</v>
      </c>
      <c r="H25">
        <v>0.56608730001607899</v>
      </c>
      <c r="I25" t="s">
        <v>33</v>
      </c>
      <c r="J25">
        <v>3</v>
      </c>
      <c r="K25">
        <v>2</v>
      </c>
      <c r="L25">
        <v>23</v>
      </c>
      <c r="M25">
        <v>1</v>
      </c>
      <c r="N25">
        <v>69.671528900013001</v>
      </c>
      <c r="P25">
        <v>69.662982700014197</v>
      </c>
      <c r="Q25">
        <v>69.671528900013001</v>
      </c>
      <c r="R25">
        <v>70.655068399995798</v>
      </c>
      <c r="S25">
        <v>70.655068399995798</v>
      </c>
      <c r="T25">
        <v>70.671553299995097</v>
      </c>
      <c r="U25">
        <v>71.221710499987196</v>
      </c>
      <c r="V25" t="s">
        <v>32</v>
      </c>
      <c r="W25">
        <v>0.56608730001607899</v>
      </c>
      <c r="X25" t="s">
        <v>33</v>
      </c>
      <c r="Y25" t="s">
        <v>34</v>
      </c>
      <c r="Z25">
        <v>1</v>
      </c>
      <c r="AA25" t="s">
        <v>35</v>
      </c>
      <c r="AB25" t="s">
        <v>36</v>
      </c>
      <c r="AD25" t="s">
        <v>37</v>
      </c>
      <c r="AE25">
        <v>59.960701756987</v>
      </c>
      <c r="AF25" t="s">
        <v>38</v>
      </c>
    </row>
    <row r="26" spans="1:32" x14ac:dyDescent="0.3">
      <c r="A26">
        <v>11</v>
      </c>
      <c r="B26">
        <v>30</v>
      </c>
      <c r="C26">
        <v>7</v>
      </c>
      <c r="D26">
        <v>24</v>
      </c>
      <c r="E26">
        <v>3</v>
      </c>
      <c r="F26">
        <v>3</v>
      </c>
      <c r="G26" t="s">
        <v>39</v>
      </c>
      <c r="H26">
        <v>0.49631260000751298</v>
      </c>
      <c r="I26" t="s">
        <v>33</v>
      </c>
      <c r="J26">
        <v>3</v>
      </c>
      <c r="K26">
        <v>3</v>
      </c>
      <c r="L26">
        <v>24</v>
      </c>
      <c r="M26">
        <v>0</v>
      </c>
      <c r="N26">
        <v>71.2379353000142</v>
      </c>
      <c r="P26">
        <v>71.227054899994897</v>
      </c>
      <c r="Q26">
        <v>71.2379353000142</v>
      </c>
      <c r="R26">
        <v>72.221698200009996</v>
      </c>
      <c r="S26">
        <v>72.221698200009996</v>
      </c>
      <c r="T26">
        <v>72.2385011000151</v>
      </c>
      <c r="U26">
        <v>72.722242599993393</v>
      </c>
      <c r="V26" t="s">
        <v>39</v>
      </c>
      <c r="W26">
        <v>0.49631260000751298</v>
      </c>
      <c r="X26" t="s">
        <v>33</v>
      </c>
      <c r="Y26" t="s">
        <v>34</v>
      </c>
      <c r="Z26">
        <v>1</v>
      </c>
      <c r="AA26" t="s">
        <v>35</v>
      </c>
      <c r="AB26" t="s">
        <v>36</v>
      </c>
      <c r="AD26" t="s">
        <v>37</v>
      </c>
      <c r="AE26">
        <v>59.960701756987</v>
      </c>
      <c r="AF26" t="s">
        <v>38</v>
      </c>
    </row>
    <row r="27" spans="1:32" x14ac:dyDescent="0.3">
      <c r="A27">
        <v>49</v>
      </c>
      <c r="B27">
        <v>60</v>
      </c>
      <c r="C27">
        <v>89</v>
      </c>
      <c r="D27">
        <v>25</v>
      </c>
      <c r="E27">
        <v>4</v>
      </c>
      <c r="F27">
        <v>3</v>
      </c>
      <c r="G27" t="s">
        <v>32</v>
      </c>
      <c r="H27">
        <v>1.3561611000041001</v>
      </c>
      <c r="I27" t="s">
        <v>33</v>
      </c>
      <c r="J27">
        <v>3</v>
      </c>
      <c r="K27">
        <v>4</v>
      </c>
      <c r="L27">
        <v>25</v>
      </c>
      <c r="M27">
        <v>4</v>
      </c>
      <c r="N27">
        <v>72.738419100001906</v>
      </c>
      <c r="P27">
        <v>72.729472700011598</v>
      </c>
      <c r="Q27">
        <v>72.738419100001906</v>
      </c>
      <c r="R27">
        <v>73.721670900005805</v>
      </c>
      <c r="S27">
        <v>73.721670900005805</v>
      </c>
      <c r="T27">
        <v>73.738768799987099</v>
      </c>
      <c r="U27">
        <v>75.089011300005893</v>
      </c>
      <c r="V27" t="s">
        <v>32</v>
      </c>
      <c r="W27">
        <v>1.3561611000041001</v>
      </c>
      <c r="X27" t="s">
        <v>33</v>
      </c>
      <c r="Y27" t="s">
        <v>34</v>
      </c>
      <c r="Z27">
        <v>1</v>
      </c>
      <c r="AA27" t="s">
        <v>35</v>
      </c>
      <c r="AB27" t="s">
        <v>36</v>
      </c>
      <c r="AD27" t="s">
        <v>37</v>
      </c>
      <c r="AE27">
        <v>59.960701756987</v>
      </c>
      <c r="AF27" t="s">
        <v>38</v>
      </c>
    </row>
    <row r="28" spans="1:32" x14ac:dyDescent="0.3">
      <c r="A28">
        <v>27</v>
      </c>
      <c r="B28">
        <v>50</v>
      </c>
      <c r="C28">
        <v>21</v>
      </c>
      <c r="D28">
        <v>26</v>
      </c>
      <c r="E28">
        <v>5</v>
      </c>
      <c r="F28">
        <v>3</v>
      </c>
      <c r="G28" t="s">
        <v>32</v>
      </c>
      <c r="H28">
        <v>2.17600070001208</v>
      </c>
      <c r="I28" t="s">
        <v>33</v>
      </c>
      <c r="J28">
        <v>3</v>
      </c>
      <c r="K28">
        <v>5</v>
      </c>
      <c r="L28">
        <v>26</v>
      </c>
      <c r="M28">
        <v>2</v>
      </c>
      <c r="N28">
        <v>75.104962400015197</v>
      </c>
      <c r="P28">
        <v>75.097662199987099</v>
      </c>
      <c r="Q28">
        <v>75.104962400015197</v>
      </c>
      <c r="R28">
        <v>76.088506700005297</v>
      </c>
      <c r="S28">
        <v>76.088506700005297</v>
      </c>
      <c r="T28">
        <v>76.105115699989199</v>
      </c>
      <c r="U28">
        <v>78.272448200004803</v>
      </c>
      <c r="V28" t="s">
        <v>32</v>
      </c>
      <c r="W28">
        <v>2.17600070001208</v>
      </c>
      <c r="X28" t="s">
        <v>33</v>
      </c>
      <c r="Y28" t="s">
        <v>34</v>
      </c>
      <c r="Z28">
        <v>1</v>
      </c>
      <c r="AA28" t="s">
        <v>35</v>
      </c>
      <c r="AB28" t="s">
        <v>36</v>
      </c>
      <c r="AD28" t="s">
        <v>37</v>
      </c>
      <c r="AE28">
        <v>59.960701756987</v>
      </c>
      <c r="AF28" t="s">
        <v>38</v>
      </c>
    </row>
    <row r="29" spans="1:32" x14ac:dyDescent="0.3">
      <c r="A29">
        <v>40</v>
      </c>
      <c r="B29">
        <v>55</v>
      </c>
      <c r="C29">
        <v>62</v>
      </c>
      <c r="D29">
        <v>27</v>
      </c>
      <c r="E29">
        <v>6</v>
      </c>
      <c r="F29">
        <v>3</v>
      </c>
      <c r="G29" t="s">
        <v>32</v>
      </c>
      <c r="H29">
        <v>2.1326916000107299</v>
      </c>
      <c r="I29" t="s">
        <v>33</v>
      </c>
      <c r="J29">
        <v>3</v>
      </c>
      <c r="K29">
        <v>6</v>
      </c>
      <c r="L29">
        <v>27</v>
      </c>
      <c r="M29">
        <v>3</v>
      </c>
      <c r="N29">
        <v>78.288401800003996</v>
      </c>
      <c r="P29">
        <v>78.279161799990106</v>
      </c>
      <c r="Q29">
        <v>78.288401800003996</v>
      </c>
      <c r="R29">
        <v>79.271548799995799</v>
      </c>
      <c r="S29">
        <v>79.271548799995799</v>
      </c>
      <c r="T29">
        <v>79.288336099998503</v>
      </c>
      <c r="U29">
        <v>81.4058889999869</v>
      </c>
      <c r="V29" t="s">
        <v>32</v>
      </c>
      <c r="W29">
        <v>2.1326916000107299</v>
      </c>
      <c r="X29" t="s">
        <v>33</v>
      </c>
      <c r="Y29" t="s">
        <v>34</v>
      </c>
      <c r="Z29">
        <v>1</v>
      </c>
      <c r="AA29" t="s">
        <v>35</v>
      </c>
      <c r="AB29" t="s">
        <v>36</v>
      </c>
      <c r="AD29" t="s">
        <v>37</v>
      </c>
      <c r="AE29">
        <v>59.960701756987</v>
      </c>
      <c r="AF29" t="s">
        <v>38</v>
      </c>
    </row>
    <row r="30" spans="1:32" x14ac:dyDescent="0.3">
      <c r="A30">
        <v>40</v>
      </c>
      <c r="B30">
        <v>55</v>
      </c>
      <c r="C30">
        <v>62</v>
      </c>
      <c r="D30">
        <v>28</v>
      </c>
      <c r="E30">
        <v>0</v>
      </c>
      <c r="F30">
        <v>4</v>
      </c>
      <c r="G30" t="s">
        <v>32</v>
      </c>
      <c r="H30">
        <v>1.53812820001621</v>
      </c>
      <c r="I30" t="s">
        <v>33</v>
      </c>
      <c r="J30">
        <v>4</v>
      </c>
      <c r="K30">
        <v>0</v>
      </c>
      <c r="L30">
        <v>28</v>
      </c>
      <c r="M30">
        <v>3</v>
      </c>
      <c r="N30">
        <v>81.421618699998305</v>
      </c>
      <c r="P30">
        <v>81.406236500013605</v>
      </c>
      <c r="Q30">
        <v>81.421618699998305</v>
      </c>
      <c r="R30">
        <v>82.405047200008994</v>
      </c>
      <c r="S30">
        <v>82.405047200008994</v>
      </c>
      <c r="T30">
        <v>82.421667699993094</v>
      </c>
      <c r="U30">
        <v>83.955526500009</v>
      </c>
      <c r="V30" t="s">
        <v>32</v>
      </c>
      <c r="W30">
        <v>1.53812820001621</v>
      </c>
      <c r="X30" t="s">
        <v>33</v>
      </c>
      <c r="Y30" t="s">
        <v>34</v>
      </c>
      <c r="Z30">
        <v>1</v>
      </c>
      <c r="AA30" t="s">
        <v>35</v>
      </c>
      <c r="AB30" t="s">
        <v>36</v>
      </c>
      <c r="AD30" t="s">
        <v>37</v>
      </c>
      <c r="AE30">
        <v>59.960701756987</v>
      </c>
      <c r="AF30" t="s">
        <v>38</v>
      </c>
    </row>
    <row r="31" spans="1:32" x14ac:dyDescent="0.3">
      <c r="A31">
        <v>67</v>
      </c>
      <c r="B31">
        <v>75</v>
      </c>
      <c r="C31">
        <v>119</v>
      </c>
      <c r="D31">
        <v>29</v>
      </c>
      <c r="E31">
        <v>1</v>
      </c>
      <c r="F31">
        <v>4</v>
      </c>
      <c r="G31" t="s">
        <v>32</v>
      </c>
      <c r="H31">
        <v>0.55224859999725595</v>
      </c>
      <c r="I31" t="s">
        <v>33</v>
      </c>
      <c r="J31">
        <v>4</v>
      </c>
      <c r="K31">
        <v>1</v>
      </c>
      <c r="L31">
        <v>29</v>
      </c>
      <c r="M31">
        <v>5</v>
      </c>
      <c r="N31">
        <v>83.971665299992296</v>
      </c>
      <c r="P31">
        <v>83.961744400003198</v>
      </c>
      <c r="Q31">
        <v>83.971665299992296</v>
      </c>
      <c r="R31">
        <v>84.954965999990193</v>
      </c>
      <c r="S31">
        <v>84.954965999990193</v>
      </c>
      <c r="T31">
        <v>84.971651800005901</v>
      </c>
      <c r="U31">
        <v>85.522238700010305</v>
      </c>
      <c r="V31" t="s">
        <v>32</v>
      </c>
      <c r="W31">
        <v>0.55224859999725595</v>
      </c>
      <c r="X31" t="s">
        <v>33</v>
      </c>
      <c r="Y31" t="s">
        <v>34</v>
      </c>
      <c r="Z31">
        <v>1</v>
      </c>
      <c r="AA31" t="s">
        <v>35</v>
      </c>
      <c r="AB31" t="s">
        <v>36</v>
      </c>
      <c r="AD31" t="s">
        <v>37</v>
      </c>
      <c r="AE31">
        <v>59.960701756987</v>
      </c>
      <c r="AF31" t="s">
        <v>38</v>
      </c>
    </row>
    <row r="32" spans="1:32" x14ac:dyDescent="0.3">
      <c r="A32">
        <v>27</v>
      </c>
      <c r="B32">
        <v>50</v>
      </c>
      <c r="C32">
        <v>21</v>
      </c>
      <c r="D32">
        <v>30</v>
      </c>
      <c r="E32">
        <v>2</v>
      </c>
      <c r="F32">
        <v>4</v>
      </c>
      <c r="G32" t="s">
        <v>32</v>
      </c>
      <c r="H32">
        <v>1.3261021000216699</v>
      </c>
      <c r="I32" t="s">
        <v>33</v>
      </c>
      <c r="J32">
        <v>4</v>
      </c>
      <c r="K32">
        <v>2</v>
      </c>
      <c r="L32">
        <v>30</v>
      </c>
      <c r="M32">
        <v>2</v>
      </c>
      <c r="N32">
        <v>85.538454599998602</v>
      </c>
      <c r="P32">
        <v>85.528967099991803</v>
      </c>
      <c r="Q32">
        <v>85.538454599998602</v>
      </c>
      <c r="R32">
        <v>86.521642800012998</v>
      </c>
      <c r="S32">
        <v>86.521642800012998</v>
      </c>
      <c r="T32">
        <v>86.538425700011402</v>
      </c>
      <c r="U32">
        <v>87.855907599994595</v>
      </c>
      <c r="V32" t="s">
        <v>32</v>
      </c>
      <c r="W32">
        <v>1.3261021000216699</v>
      </c>
      <c r="X32" t="s">
        <v>33</v>
      </c>
      <c r="Y32" t="s">
        <v>34</v>
      </c>
      <c r="Z32">
        <v>1</v>
      </c>
      <c r="AA32" t="s">
        <v>35</v>
      </c>
      <c r="AB32" t="s">
        <v>36</v>
      </c>
      <c r="AD32" t="s">
        <v>37</v>
      </c>
      <c r="AE32">
        <v>59.960701756987</v>
      </c>
      <c r="AF32" t="s">
        <v>38</v>
      </c>
    </row>
    <row r="33" spans="1:32" x14ac:dyDescent="0.3">
      <c r="A33">
        <v>11</v>
      </c>
      <c r="B33">
        <v>30</v>
      </c>
      <c r="C33">
        <v>7</v>
      </c>
      <c r="D33">
        <v>31</v>
      </c>
      <c r="E33">
        <v>3</v>
      </c>
      <c r="F33">
        <v>4</v>
      </c>
      <c r="G33" t="s">
        <v>39</v>
      </c>
      <c r="H33">
        <v>0.737638199992943</v>
      </c>
      <c r="I33" t="s">
        <v>33</v>
      </c>
      <c r="J33">
        <v>4</v>
      </c>
      <c r="K33">
        <v>3</v>
      </c>
      <c r="L33">
        <v>31</v>
      </c>
      <c r="M33">
        <v>0</v>
      </c>
      <c r="N33">
        <v>87.871499300002995</v>
      </c>
      <c r="P33">
        <v>87.862132899987003</v>
      </c>
      <c r="Q33">
        <v>87.871499300002995</v>
      </c>
      <c r="R33">
        <v>88.855107899987999</v>
      </c>
      <c r="S33">
        <v>88.855107899987999</v>
      </c>
      <c r="T33">
        <v>88.871567900001494</v>
      </c>
      <c r="U33">
        <v>89.605778199998895</v>
      </c>
      <c r="V33" t="s">
        <v>39</v>
      </c>
      <c r="W33">
        <v>0.737638199992943</v>
      </c>
      <c r="X33" t="s">
        <v>33</v>
      </c>
      <c r="Y33" t="s">
        <v>34</v>
      </c>
      <c r="Z33">
        <v>1</v>
      </c>
      <c r="AA33" t="s">
        <v>35</v>
      </c>
      <c r="AB33" t="s">
        <v>36</v>
      </c>
      <c r="AD33" t="s">
        <v>37</v>
      </c>
      <c r="AE33">
        <v>59.960701756987</v>
      </c>
      <c r="AF33" t="s">
        <v>38</v>
      </c>
    </row>
    <row r="34" spans="1:32" x14ac:dyDescent="0.3">
      <c r="A34">
        <v>15</v>
      </c>
      <c r="B34">
        <v>35</v>
      </c>
      <c r="C34">
        <v>13</v>
      </c>
      <c r="D34">
        <v>32</v>
      </c>
      <c r="E34">
        <v>4</v>
      </c>
      <c r="F34">
        <v>4</v>
      </c>
      <c r="G34" t="s">
        <v>32</v>
      </c>
      <c r="H34">
        <v>0.86218510000617199</v>
      </c>
      <c r="I34" t="s">
        <v>33</v>
      </c>
      <c r="J34">
        <v>4</v>
      </c>
      <c r="K34">
        <v>4</v>
      </c>
      <c r="L34">
        <v>32</v>
      </c>
      <c r="M34">
        <v>1</v>
      </c>
      <c r="N34">
        <v>89.621752800012402</v>
      </c>
      <c r="P34">
        <v>89.612801600014706</v>
      </c>
      <c r="Q34">
        <v>89.621752800012402</v>
      </c>
      <c r="R34">
        <v>90.621404100005705</v>
      </c>
      <c r="S34">
        <v>90.621404100005705</v>
      </c>
      <c r="T34">
        <v>90.621404100005705</v>
      </c>
      <c r="U34">
        <v>91.489128499990301</v>
      </c>
      <c r="V34" t="s">
        <v>32</v>
      </c>
      <c r="W34">
        <v>0.86218510000617199</v>
      </c>
      <c r="X34" t="s">
        <v>33</v>
      </c>
      <c r="Y34" t="s">
        <v>34</v>
      </c>
      <c r="Z34">
        <v>1</v>
      </c>
      <c r="AA34" t="s">
        <v>35</v>
      </c>
      <c r="AB34" t="s">
        <v>36</v>
      </c>
      <c r="AD34" t="s">
        <v>37</v>
      </c>
      <c r="AE34">
        <v>59.960701756987</v>
      </c>
      <c r="AF34" t="s">
        <v>38</v>
      </c>
    </row>
    <row r="35" spans="1:32" x14ac:dyDescent="0.3">
      <c r="A35">
        <v>78</v>
      </c>
      <c r="B35">
        <v>80</v>
      </c>
      <c r="C35">
        <v>162</v>
      </c>
      <c r="D35">
        <v>33</v>
      </c>
      <c r="E35">
        <v>5</v>
      </c>
      <c r="F35">
        <v>4</v>
      </c>
      <c r="G35" t="s">
        <v>32</v>
      </c>
      <c r="H35">
        <v>0.91665270001976695</v>
      </c>
      <c r="I35" t="s">
        <v>33</v>
      </c>
      <c r="J35">
        <v>4</v>
      </c>
      <c r="K35">
        <v>5</v>
      </c>
      <c r="L35">
        <v>33</v>
      </c>
      <c r="M35">
        <v>6</v>
      </c>
      <c r="N35">
        <v>91.5049568999966</v>
      </c>
      <c r="P35">
        <v>91.495641899993601</v>
      </c>
      <c r="Q35">
        <v>91.5049568999966</v>
      </c>
      <c r="R35">
        <v>92.505066000012405</v>
      </c>
      <c r="S35">
        <v>92.505066000012405</v>
      </c>
      <c r="T35">
        <v>92.505066000012405</v>
      </c>
      <c r="U35">
        <v>93.4223202000139</v>
      </c>
      <c r="V35" t="s">
        <v>32</v>
      </c>
      <c r="W35">
        <v>0.91665270001976695</v>
      </c>
      <c r="X35" t="s">
        <v>33</v>
      </c>
      <c r="Y35" t="s">
        <v>34</v>
      </c>
      <c r="Z35">
        <v>1</v>
      </c>
      <c r="AA35" t="s">
        <v>35</v>
      </c>
      <c r="AB35" t="s">
        <v>36</v>
      </c>
      <c r="AD35" t="s">
        <v>37</v>
      </c>
      <c r="AE35">
        <v>59.960701756987</v>
      </c>
      <c r="AF35" t="s">
        <v>38</v>
      </c>
    </row>
    <row r="36" spans="1:32" x14ac:dyDescent="0.3">
      <c r="A36">
        <v>49</v>
      </c>
      <c r="B36">
        <v>60</v>
      </c>
      <c r="C36">
        <v>89</v>
      </c>
      <c r="D36">
        <v>34</v>
      </c>
      <c r="E36">
        <v>6</v>
      </c>
      <c r="F36">
        <v>4</v>
      </c>
      <c r="G36" t="s">
        <v>32</v>
      </c>
      <c r="H36">
        <v>0.93180879999999799</v>
      </c>
      <c r="I36" t="s">
        <v>33</v>
      </c>
      <c r="J36">
        <v>4</v>
      </c>
      <c r="K36">
        <v>6</v>
      </c>
      <c r="L36">
        <v>34</v>
      </c>
      <c r="M36">
        <v>4</v>
      </c>
      <c r="N36">
        <v>93.438668199989394</v>
      </c>
      <c r="P36">
        <v>93.428761199989793</v>
      </c>
      <c r="Q36">
        <v>93.438668199989394</v>
      </c>
      <c r="R36">
        <v>94.421644399990299</v>
      </c>
      <c r="S36">
        <v>94.421644399990299</v>
      </c>
      <c r="T36">
        <v>94.438274999993098</v>
      </c>
      <c r="U36">
        <v>95.355714500008602</v>
      </c>
      <c r="V36" t="s">
        <v>32</v>
      </c>
      <c r="W36">
        <v>0.93180879999999799</v>
      </c>
      <c r="X36" t="s">
        <v>33</v>
      </c>
      <c r="Y36" t="s">
        <v>34</v>
      </c>
      <c r="Z36">
        <v>1</v>
      </c>
      <c r="AA36" t="s">
        <v>35</v>
      </c>
      <c r="AB36" t="s">
        <v>36</v>
      </c>
      <c r="AD36" t="s">
        <v>37</v>
      </c>
      <c r="AE36">
        <v>59.960701756987</v>
      </c>
      <c r="AF36" t="s">
        <v>38</v>
      </c>
    </row>
    <row r="37" spans="1:32" x14ac:dyDescent="0.3">
      <c r="A37">
        <v>11</v>
      </c>
      <c r="B37">
        <v>30</v>
      </c>
      <c r="C37">
        <v>7</v>
      </c>
      <c r="D37">
        <v>35</v>
      </c>
      <c r="E37">
        <v>0</v>
      </c>
      <c r="F37">
        <v>5</v>
      </c>
      <c r="G37" t="s">
        <v>39</v>
      </c>
      <c r="H37">
        <v>0.94584719999693301</v>
      </c>
      <c r="I37" t="s">
        <v>33</v>
      </c>
      <c r="J37">
        <v>5</v>
      </c>
      <c r="K37">
        <v>0</v>
      </c>
      <c r="L37">
        <v>35</v>
      </c>
      <c r="M37">
        <v>0</v>
      </c>
      <c r="N37">
        <v>95.371955000009606</v>
      </c>
      <c r="P37">
        <v>95.361388799996305</v>
      </c>
      <c r="Q37">
        <v>95.371955000009606</v>
      </c>
      <c r="R37">
        <v>96.355024199991007</v>
      </c>
      <c r="S37">
        <v>96.355024199991007</v>
      </c>
      <c r="T37">
        <v>96.371499800006802</v>
      </c>
      <c r="U37">
        <v>97.305716100003295</v>
      </c>
      <c r="V37" t="s">
        <v>39</v>
      </c>
      <c r="W37">
        <v>0.94584719999693301</v>
      </c>
      <c r="X37" t="s">
        <v>33</v>
      </c>
      <c r="Y37" t="s">
        <v>34</v>
      </c>
      <c r="Z37">
        <v>1</v>
      </c>
      <c r="AA37" t="s">
        <v>35</v>
      </c>
      <c r="AB37" t="s">
        <v>36</v>
      </c>
      <c r="AD37" t="s">
        <v>37</v>
      </c>
      <c r="AE37">
        <v>59.960701756987</v>
      </c>
      <c r="AF37" t="s">
        <v>38</v>
      </c>
    </row>
    <row r="38" spans="1:32" x14ac:dyDescent="0.3">
      <c r="A38">
        <v>78</v>
      </c>
      <c r="B38">
        <v>80</v>
      </c>
      <c r="C38">
        <v>162</v>
      </c>
      <c r="D38">
        <v>36</v>
      </c>
      <c r="E38">
        <v>1</v>
      </c>
      <c r="F38">
        <v>5</v>
      </c>
      <c r="G38" t="s">
        <v>32</v>
      </c>
      <c r="H38">
        <v>0.87388540001120396</v>
      </c>
      <c r="I38" t="s">
        <v>33</v>
      </c>
      <c r="J38">
        <v>5</v>
      </c>
      <c r="K38">
        <v>1</v>
      </c>
      <c r="L38">
        <v>36</v>
      </c>
      <c r="M38">
        <v>6</v>
      </c>
      <c r="N38">
        <v>97.321604399999998</v>
      </c>
      <c r="P38">
        <v>97.3122360999987</v>
      </c>
      <c r="Q38">
        <v>97.321604399999998</v>
      </c>
      <c r="R38">
        <v>98.304882299998994</v>
      </c>
      <c r="S38">
        <v>98.304882299998994</v>
      </c>
      <c r="T38">
        <v>98.321649599994998</v>
      </c>
      <c r="U38">
        <v>99.189105700002898</v>
      </c>
      <c r="V38" t="s">
        <v>32</v>
      </c>
      <c r="W38">
        <v>0.87388540001120396</v>
      </c>
      <c r="X38" t="s">
        <v>33</v>
      </c>
      <c r="Y38" t="s">
        <v>34</v>
      </c>
      <c r="Z38">
        <v>1</v>
      </c>
      <c r="AA38" t="s">
        <v>35</v>
      </c>
      <c r="AB38" t="s">
        <v>36</v>
      </c>
      <c r="AD38" t="s">
        <v>37</v>
      </c>
      <c r="AE38">
        <v>59.960701756987</v>
      </c>
      <c r="AF38" t="s">
        <v>38</v>
      </c>
    </row>
    <row r="39" spans="1:32" x14ac:dyDescent="0.3">
      <c r="A39">
        <v>15</v>
      </c>
      <c r="B39">
        <v>35</v>
      </c>
      <c r="C39">
        <v>13</v>
      </c>
      <c r="D39">
        <v>37</v>
      </c>
      <c r="E39">
        <v>2</v>
      </c>
      <c r="F39">
        <v>5</v>
      </c>
      <c r="G39" t="s">
        <v>32</v>
      </c>
      <c r="H39">
        <v>1.04430589999537</v>
      </c>
      <c r="I39" t="s">
        <v>33</v>
      </c>
      <c r="J39">
        <v>5</v>
      </c>
      <c r="K39">
        <v>2</v>
      </c>
      <c r="L39">
        <v>37</v>
      </c>
      <c r="M39">
        <v>1</v>
      </c>
      <c r="N39">
        <v>99.204988799989195</v>
      </c>
      <c r="P39">
        <v>99.195127699989797</v>
      </c>
      <c r="Q39">
        <v>99.204988799989195</v>
      </c>
      <c r="R39">
        <v>100.18831820000101</v>
      </c>
      <c r="S39">
        <v>100.18831820000101</v>
      </c>
      <c r="T39">
        <v>100.205293400009</v>
      </c>
      <c r="U39">
        <v>101.23895460000401</v>
      </c>
      <c r="V39" t="s">
        <v>32</v>
      </c>
      <c r="W39">
        <v>1.04430589999537</v>
      </c>
      <c r="X39" t="s">
        <v>33</v>
      </c>
      <c r="Y39" t="s">
        <v>34</v>
      </c>
      <c r="Z39">
        <v>1</v>
      </c>
      <c r="AA39" t="s">
        <v>35</v>
      </c>
      <c r="AB39" t="s">
        <v>36</v>
      </c>
      <c r="AD39" t="s">
        <v>37</v>
      </c>
      <c r="AE39">
        <v>59.960701756987</v>
      </c>
      <c r="AF39" t="s">
        <v>38</v>
      </c>
    </row>
    <row r="40" spans="1:32" x14ac:dyDescent="0.3">
      <c r="A40">
        <v>67</v>
      </c>
      <c r="B40">
        <v>75</v>
      </c>
      <c r="C40">
        <v>119</v>
      </c>
      <c r="D40">
        <v>38</v>
      </c>
      <c r="E40">
        <v>3</v>
      </c>
      <c r="F40">
        <v>5</v>
      </c>
      <c r="G40" t="s">
        <v>32</v>
      </c>
      <c r="H40">
        <v>1.1425370999786499</v>
      </c>
      <c r="I40" t="s">
        <v>33</v>
      </c>
      <c r="J40">
        <v>5</v>
      </c>
      <c r="K40">
        <v>3</v>
      </c>
      <c r="L40">
        <v>38</v>
      </c>
      <c r="M40">
        <v>5</v>
      </c>
      <c r="N40">
        <v>101.255055899993</v>
      </c>
      <c r="P40">
        <v>101.247713699995</v>
      </c>
      <c r="Q40">
        <v>101.255055899993</v>
      </c>
      <c r="R40">
        <v>102.23843399999799</v>
      </c>
      <c r="S40">
        <v>102.23843399999799</v>
      </c>
      <c r="T40">
        <v>102.254973100003</v>
      </c>
      <c r="U40">
        <v>103.389033100014</v>
      </c>
      <c r="V40" t="s">
        <v>32</v>
      </c>
      <c r="W40">
        <v>1.1425370999786499</v>
      </c>
      <c r="X40" t="s">
        <v>33</v>
      </c>
      <c r="Y40" t="s">
        <v>34</v>
      </c>
      <c r="Z40">
        <v>1</v>
      </c>
      <c r="AA40" t="s">
        <v>35</v>
      </c>
      <c r="AB40" t="s">
        <v>36</v>
      </c>
      <c r="AD40" t="s">
        <v>37</v>
      </c>
      <c r="AE40">
        <v>59.960701756987</v>
      </c>
      <c r="AF40" t="s">
        <v>38</v>
      </c>
    </row>
    <row r="41" spans="1:32" x14ac:dyDescent="0.3">
      <c r="A41">
        <v>27</v>
      </c>
      <c r="B41">
        <v>50</v>
      </c>
      <c r="C41">
        <v>21</v>
      </c>
      <c r="D41">
        <v>39</v>
      </c>
      <c r="E41">
        <v>4</v>
      </c>
      <c r="F41">
        <v>5</v>
      </c>
      <c r="G41" t="s">
        <v>32</v>
      </c>
      <c r="H41">
        <v>0.96926869999151599</v>
      </c>
      <c r="I41" t="s">
        <v>33</v>
      </c>
      <c r="J41">
        <v>5</v>
      </c>
      <c r="K41">
        <v>4</v>
      </c>
      <c r="L41">
        <v>39</v>
      </c>
      <c r="M41">
        <v>2</v>
      </c>
      <c r="N41">
        <v>103.405039500008</v>
      </c>
      <c r="P41">
        <v>103.395038199989</v>
      </c>
      <c r="Q41">
        <v>103.405039500008</v>
      </c>
      <c r="R41">
        <v>104.38843039999399</v>
      </c>
      <c r="S41">
        <v>104.38843039999399</v>
      </c>
      <c r="T41">
        <v>104.40478750001</v>
      </c>
      <c r="U41">
        <v>105.372230500011</v>
      </c>
      <c r="V41" t="s">
        <v>32</v>
      </c>
      <c r="W41">
        <v>0.96926869999151599</v>
      </c>
      <c r="X41" t="s">
        <v>33</v>
      </c>
      <c r="Y41" t="s">
        <v>34</v>
      </c>
      <c r="Z41">
        <v>1</v>
      </c>
      <c r="AA41" t="s">
        <v>35</v>
      </c>
      <c r="AB41" t="s">
        <v>36</v>
      </c>
      <c r="AD41" t="s">
        <v>37</v>
      </c>
      <c r="AE41">
        <v>59.960701756987</v>
      </c>
      <c r="AF41" t="s">
        <v>38</v>
      </c>
    </row>
    <row r="42" spans="1:32" x14ac:dyDescent="0.3">
      <c r="A42">
        <v>40</v>
      </c>
      <c r="B42">
        <v>55</v>
      </c>
      <c r="C42">
        <v>62</v>
      </c>
      <c r="D42">
        <v>40</v>
      </c>
      <c r="E42">
        <v>5</v>
      </c>
      <c r="F42">
        <v>5</v>
      </c>
      <c r="G42" t="s">
        <v>32</v>
      </c>
      <c r="H42">
        <v>1.1472845999815</v>
      </c>
      <c r="I42" t="s">
        <v>33</v>
      </c>
      <c r="J42">
        <v>5</v>
      </c>
      <c r="K42">
        <v>5</v>
      </c>
      <c r="L42">
        <v>40</v>
      </c>
      <c r="M42">
        <v>3</v>
      </c>
      <c r="N42">
        <v>105.388306500011</v>
      </c>
      <c r="P42">
        <v>105.380208799993</v>
      </c>
      <c r="Q42">
        <v>105.388306500011</v>
      </c>
      <c r="R42">
        <v>106.37158030000801</v>
      </c>
      <c r="S42">
        <v>106.37158030000801</v>
      </c>
      <c r="T42">
        <v>106.38822900000299</v>
      </c>
      <c r="U42">
        <v>107.522077900008</v>
      </c>
      <c r="V42" t="s">
        <v>32</v>
      </c>
      <c r="W42">
        <v>1.1472845999815</v>
      </c>
      <c r="X42" t="s">
        <v>33</v>
      </c>
      <c r="Y42" t="s">
        <v>34</v>
      </c>
      <c r="Z42">
        <v>1</v>
      </c>
      <c r="AA42" t="s">
        <v>35</v>
      </c>
      <c r="AB42" t="s">
        <v>36</v>
      </c>
      <c r="AD42" t="s">
        <v>37</v>
      </c>
      <c r="AE42">
        <v>59.960701756987</v>
      </c>
      <c r="AF42" t="s">
        <v>38</v>
      </c>
    </row>
    <row r="43" spans="1:32" x14ac:dyDescent="0.3">
      <c r="A43">
        <v>49</v>
      </c>
      <c r="B43">
        <v>60</v>
      </c>
      <c r="C43">
        <v>89</v>
      </c>
      <c r="D43">
        <v>41</v>
      </c>
      <c r="E43">
        <v>6</v>
      </c>
      <c r="F43">
        <v>5</v>
      </c>
      <c r="G43" t="s">
        <v>32</v>
      </c>
      <c r="H43">
        <v>1.6387141000013701</v>
      </c>
      <c r="I43" t="s">
        <v>33</v>
      </c>
      <c r="J43">
        <v>5</v>
      </c>
      <c r="K43">
        <v>6</v>
      </c>
      <c r="L43">
        <v>41</v>
      </c>
      <c r="M43">
        <v>4</v>
      </c>
      <c r="N43">
        <v>107.53821629998799</v>
      </c>
      <c r="P43">
        <v>107.528395800007</v>
      </c>
      <c r="Q43">
        <v>107.53821629998799</v>
      </c>
      <c r="R43">
        <v>108.5218514</v>
      </c>
      <c r="S43">
        <v>108.5218514</v>
      </c>
      <c r="T43">
        <v>108.538397099997</v>
      </c>
      <c r="U43">
        <v>110.172209100011</v>
      </c>
      <c r="V43" t="s">
        <v>32</v>
      </c>
      <c r="W43">
        <v>1.6387141000013701</v>
      </c>
      <c r="X43" t="s">
        <v>33</v>
      </c>
      <c r="Y43" t="s">
        <v>34</v>
      </c>
      <c r="Z43">
        <v>1</v>
      </c>
      <c r="AA43" t="s">
        <v>35</v>
      </c>
      <c r="AB43" t="s">
        <v>36</v>
      </c>
      <c r="AD43" t="s">
        <v>37</v>
      </c>
      <c r="AE43">
        <v>59.960701756987</v>
      </c>
      <c r="AF43" t="s">
        <v>38</v>
      </c>
    </row>
    <row r="44" spans="1:32" x14ac:dyDescent="0.3">
      <c r="A44">
        <v>78</v>
      </c>
      <c r="B44">
        <v>80</v>
      </c>
      <c r="C44">
        <v>162</v>
      </c>
      <c r="D44">
        <v>42</v>
      </c>
      <c r="E44">
        <v>0</v>
      </c>
      <c r="F44">
        <v>6</v>
      </c>
      <c r="G44" t="s">
        <v>32</v>
      </c>
      <c r="H44">
        <v>0.75091229999088605</v>
      </c>
      <c r="I44" t="s">
        <v>33</v>
      </c>
      <c r="J44">
        <v>6</v>
      </c>
      <c r="K44">
        <v>0</v>
      </c>
      <c r="L44">
        <v>42</v>
      </c>
      <c r="M44">
        <v>6</v>
      </c>
      <c r="N44">
        <v>110.18833289999699</v>
      </c>
      <c r="P44">
        <v>110.17906640001399</v>
      </c>
      <c r="Q44">
        <v>110.18833289999699</v>
      </c>
      <c r="R44">
        <v>111.17187379999</v>
      </c>
      <c r="S44">
        <v>111.17187379999</v>
      </c>
      <c r="T44">
        <v>111.188394900003</v>
      </c>
      <c r="U44">
        <v>111.93912970001099</v>
      </c>
      <c r="V44" t="s">
        <v>32</v>
      </c>
      <c r="W44">
        <v>0.75091229999088605</v>
      </c>
      <c r="X44" t="s">
        <v>33</v>
      </c>
      <c r="Y44" t="s">
        <v>34</v>
      </c>
      <c r="Z44">
        <v>1</v>
      </c>
      <c r="AA44" t="s">
        <v>35</v>
      </c>
      <c r="AB44" t="s">
        <v>36</v>
      </c>
      <c r="AD44" t="s">
        <v>37</v>
      </c>
      <c r="AE44">
        <v>59.960701756987</v>
      </c>
      <c r="AF44" t="s">
        <v>38</v>
      </c>
    </row>
    <row r="45" spans="1:32" x14ac:dyDescent="0.3">
      <c r="A45">
        <v>11</v>
      </c>
      <c r="B45">
        <v>30</v>
      </c>
      <c r="C45">
        <v>7</v>
      </c>
      <c r="D45">
        <v>43</v>
      </c>
      <c r="E45">
        <v>1</v>
      </c>
      <c r="F45">
        <v>6</v>
      </c>
      <c r="G45" t="s">
        <v>39</v>
      </c>
      <c r="H45">
        <v>1.23628320000716</v>
      </c>
      <c r="I45" t="s">
        <v>33</v>
      </c>
      <c r="J45">
        <v>6</v>
      </c>
      <c r="K45">
        <v>1</v>
      </c>
      <c r="L45">
        <v>43</v>
      </c>
      <c r="M45">
        <v>0</v>
      </c>
      <c r="N45">
        <v>111.95499409999999</v>
      </c>
      <c r="P45">
        <v>111.945305000001</v>
      </c>
      <c r="Q45">
        <v>111.95499409999999</v>
      </c>
      <c r="R45">
        <v>112.955417799996</v>
      </c>
      <c r="S45">
        <v>112.955417799996</v>
      </c>
      <c r="T45">
        <v>112.955417799996</v>
      </c>
      <c r="U45">
        <v>114.205127399996</v>
      </c>
      <c r="V45" t="s">
        <v>39</v>
      </c>
      <c r="W45">
        <v>1.23628320000716</v>
      </c>
      <c r="X45" t="s">
        <v>33</v>
      </c>
      <c r="Y45" t="s">
        <v>34</v>
      </c>
      <c r="Z45">
        <v>1</v>
      </c>
      <c r="AA45" t="s">
        <v>35</v>
      </c>
      <c r="AB45" t="s">
        <v>36</v>
      </c>
      <c r="AD45" t="s">
        <v>37</v>
      </c>
      <c r="AE45">
        <v>59.960701756987</v>
      </c>
      <c r="AF45" t="s">
        <v>38</v>
      </c>
    </row>
    <row r="46" spans="1:32" x14ac:dyDescent="0.3">
      <c r="A46">
        <v>49</v>
      </c>
      <c r="B46">
        <v>60</v>
      </c>
      <c r="C46">
        <v>89</v>
      </c>
      <c r="D46">
        <v>44</v>
      </c>
      <c r="E46">
        <v>2</v>
      </c>
      <c r="F46">
        <v>6</v>
      </c>
      <c r="G46" t="s">
        <v>32</v>
      </c>
      <c r="H46">
        <v>0.89132870000321396</v>
      </c>
      <c r="I46" t="s">
        <v>33</v>
      </c>
      <c r="J46">
        <v>6</v>
      </c>
      <c r="K46">
        <v>2</v>
      </c>
      <c r="L46">
        <v>44</v>
      </c>
      <c r="M46">
        <v>4</v>
      </c>
      <c r="N46">
        <v>114.221359099989</v>
      </c>
      <c r="P46">
        <v>114.20991840001</v>
      </c>
      <c r="Q46">
        <v>114.221359099989</v>
      </c>
      <c r="R46">
        <v>115.205026600015</v>
      </c>
      <c r="S46">
        <v>115.205026600015</v>
      </c>
      <c r="T46">
        <v>115.22163899999499</v>
      </c>
      <c r="U46">
        <v>116.10567180000299</v>
      </c>
      <c r="V46" t="s">
        <v>32</v>
      </c>
      <c r="W46">
        <v>0.89132870000321396</v>
      </c>
      <c r="X46" t="s">
        <v>33</v>
      </c>
      <c r="Y46" t="s">
        <v>34</v>
      </c>
      <c r="Z46">
        <v>1</v>
      </c>
      <c r="AA46" t="s">
        <v>35</v>
      </c>
      <c r="AB46" t="s">
        <v>36</v>
      </c>
      <c r="AD46" t="s">
        <v>37</v>
      </c>
      <c r="AE46">
        <v>59.960701756987</v>
      </c>
      <c r="AF46" t="s">
        <v>38</v>
      </c>
    </row>
    <row r="47" spans="1:32" x14ac:dyDescent="0.3">
      <c r="A47">
        <v>27</v>
      </c>
      <c r="B47">
        <v>50</v>
      </c>
      <c r="C47">
        <v>21</v>
      </c>
      <c r="D47">
        <v>45</v>
      </c>
      <c r="E47">
        <v>3</v>
      </c>
      <c r="F47">
        <v>6</v>
      </c>
      <c r="G47" t="s">
        <v>32</v>
      </c>
      <c r="H47">
        <v>1.0281098000123099</v>
      </c>
      <c r="I47" t="s">
        <v>33</v>
      </c>
      <c r="J47">
        <v>6</v>
      </c>
      <c r="K47">
        <v>3</v>
      </c>
      <c r="L47">
        <v>45</v>
      </c>
      <c r="M47">
        <v>2</v>
      </c>
      <c r="N47">
        <v>116.12143540001099</v>
      </c>
      <c r="P47">
        <v>116.11173579999</v>
      </c>
      <c r="Q47">
        <v>116.12143540001099</v>
      </c>
      <c r="R47">
        <v>117.104981799988</v>
      </c>
      <c r="S47">
        <v>117.104981799988</v>
      </c>
      <c r="T47">
        <v>117.121493299986</v>
      </c>
      <c r="U47">
        <v>118.13923890001</v>
      </c>
      <c r="V47" t="s">
        <v>32</v>
      </c>
      <c r="W47">
        <v>1.0281098000123099</v>
      </c>
      <c r="X47" t="s">
        <v>33</v>
      </c>
      <c r="Y47" t="s">
        <v>34</v>
      </c>
      <c r="Z47">
        <v>1</v>
      </c>
      <c r="AA47" t="s">
        <v>35</v>
      </c>
      <c r="AB47" t="s">
        <v>36</v>
      </c>
      <c r="AD47" t="s">
        <v>37</v>
      </c>
      <c r="AE47">
        <v>59.960701756987</v>
      </c>
      <c r="AF47" t="s">
        <v>38</v>
      </c>
    </row>
    <row r="48" spans="1:32" x14ac:dyDescent="0.3">
      <c r="A48">
        <v>15</v>
      </c>
      <c r="B48">
        <v>35</v>
      </c>
      <c r="C48">
        <v>13</v>
      </c>
      <c r="D48">
        <v>46</v>
      </c>
      <c r="E48">
        <v>4</v>
      </c>
      <c r="F48">
        <v>6</v>
      </c>
      <c r="G48" t="s">
        <v>39</v>
      </c>
      <c r="H48">
        <v>1.3925201999954799</v>
      </c>
      <c r="I48" t="s">
        <v>33</v>
      </c>
      <c r="J48">
        <v>6</v>
      </c>
      <c r="K48">
        <v>4</v>
      </c>
      <c r="L48">
        <v>46</v>
      </c>
      <c r="M48">
        <v>1</v>
      </c>
      <c r="N48">
        <v>118.155029999994</v>
      </c>
      <c r="P48">
        <v>118.14632639999</v>
      </c>
      <c r="Q48">
        <v>118.155029999994</v>
      </c>
      <c r="R48">
        <v>119.155038700002</v>
      </c>
      <c r="S48">
        <v>119.155038700002</v>
      </c>
      <c r="T48">
        <v>119.155038700002</v>
      </c>
      <c r="U48">
        <v>120.55570719999299</v>
      </c>
      <c r="V48" t="s">
        <v>39</v>
      </c>
      <c r="W48">
        <v>1.3925201999954799</v>
      </c>
      <c r="X48" t="s">
        <v>33</v>
      </c>
      <c r="Y48" t="s">
        <v>34</v>
      </c>
      <c r="Z48">
        <v>1</v>
      </c>
      <c r="AA48" t="s">
        <v>35</v>
      </c>
      <c r="AB48" t="s">
        <v>36</v>
      </c>
      <c r="AD48" t="s">
        <v>37</v>
      </c>
      <c r="AE48">
        <v>59.960701756987</v>
      </c>
      <c r="AF48" t="s">
        <v>38</v>
      </c>
    </row>
    <row r="49" spans="1:32" x14ac:dyDescent="0.3">
      <c r="A49">
        <v>67</v>
      </c>
      <c r="B49">
        <v>75</v>
      </c>
      <c r="C49">
        <v>119</v>
      </c>
      <c r="D49">
        <v>47</v>
      </c>
      <c r="E49">
        <v>5</v>
      </c>
      <c r="F49">
        <v>6</v>
      </c>
      <c r="G49" t="s">
        <v>32</v>
      </c>
      <c r="H49">
        <v>0.89107029998558496</v>
      </c>
      <c r="I49" t="s">
        <v>33</v>
      </c>
      <c r="J49">
        <v>6</v>
      </c>
      <c r="K49">
        <v>5</v>
      </c>
      <c r="L49">
        <v>47</v>
      </c>
      <c r="M49">
        <v>5</v>
      </c>
      <c r="N49">
        <v>120.571557499992</v>
      </c>
      <c r="P49">
        <v>120.561514300003</v>
      </c>
      <c r="Q49">
        <v>120.571557499992</v>
      </c>
      <c r="R49">
        <v>121.555025700014</v>
      </c>
      <c r="S49">
        <v>121.555025700014</v>
      </c>
      <c r="T49">
        <v>121.571583300014</v>
      </c>
      <c r="U49">
        <v>122.455730299989</v>
      </c>
      <c r="V49" t="s">
        <v>32</v>
      </c>
      <c r="W49">
        <v>0.89107029998558496</v>
      </c>
      <c r="X49" t="s">
        <v>33</v>
      </c>
      <c r="Y49" t="s">
        <v>34</v>
      </c>
      <c r="Z49">
        <v>1</v>
      </c>
      <c r="AA49" t="s">
        <v>35</v>
      </c>
      <c r="AB49" t="s">
        <v>36</v>
      </c>
      <c r="AD49" t="s">
        <v>37</v>
      </c>
      <c r="AE49">
        <v>59.960701756987</v>
      </c>
      <c r="AF49" t="s">
        <v>38</v>
      </c>
    </row>
    <row r="50" spans="1:32" x14ac:dyDescent="0.3">
      <c r="A50">
        <v>40</v>
      </c>
      <c r="B50">
        <v>55</v>
      </c>
      <c r="C50">
        <v>62</v>
      </c>
      <c r="D50">
        <v>48</v>
      </c>
      <c r="E50">
        <v>6</v>
      </c>
      <c r="F50">
        <v>6</v>
      </c>
      <c r="G50" t="s">
        <v>32</v>
      </c>
      <c r="H50">
        <v>1.8511047000065399</v>
      </c>
      <c r="I50" t="s">
        <v>33</v>
      </c>
      <c r="J50">
        <v>6</v>
      </c>
      <c r="K50">
        <v>6</v>
      </c>
      <c r="L50">
        <v>48</v>
      </c>
      <c r="M50">
        <v>3</v>
      </c>
      <c r="N50">
        <v>122.47155300001</v>
      </c>
      <c r="P50">
        <v>122.463085700001</v>
      </c>
      <c r="Q50">
        <v>122.47155300001</v>
      </c>
      <c r="R50">
        <v>123.454969100013</v>
      </c>
      <c r="S50">
        <v>123.454969100013</v>
      </c>
      <c r="T50">
        <v>123.471920699987</v>
      </c>
      <c r="U50">
        <v>125.32169969999801</v>
      </c>
      <c r="V50" t="s">
        <v>32</v>
      </c>
      <c r="W50">
        <v>1.8511047000065399</v>
      </c>
      <c r="X50" t="s">
        <v>33</v>
      </c>
      <c r="Y50" t="s">
        <v>34</v>
      </c>
      <c r="Z50">
        <v>1</v>
      </c>
      <c r="AA50" t="s">
        <v>35</v>
      </c>
      <c r="AB50" t="s">
        <v>36</v>
      </c>
      <c r="AD50" t="s">
        <v>37</v>
      </c>
      <c r="AE50">
        <v>59.960701756987</v>
      </c>
      <c r="AF50" t="s">
        <v>38</v>
      </c>
    </row>
    <row r="51" spans="1:32" x14ac:dyDescent="0.3">
      <c r="A51">
        <v>15</v>
      </c>
      <c r="B51">
        <v>35</v>
      </c>
      <c r="C51">
        <v>13</v>
      </c>
      <c r="D51">
        <v>49</v>
      </c>
      <c r="E51">
        <v>0</v>
      </c>
      <c r="F51">
        <v>7</v>
      </c>
      <c r="G51" t="s">
        <v>39</v>
      </c>
      <c r="H51">
        <v>1.71400370000628</v>
      </c>
      <c r="I51" t="s">
        <v>33</v>
      </c>
      <c r="J51">
        <v>7</v>
      </c>
      <c r="K51">
        <v>0</v>
      </c>
      <c r="L51">
        <v>49</v>
      </c>
      <c r="M51">
        <v>1</v>
      </c>
      <c r="N51">
        <v>125.33805140000101</v>
      </c>
      <c r="P51">
        <v>125.328244500007</v>
      </c>
      <c r="Q51">
        <v>125.33805140000101</v>
      </c>
      <c r="R51">
        <v>126.321492799994</v>
      </c>
      <c r="S51">
        <v>126.321492799994</v>
      </c>
      <c r="T51">
        <v>126.338390599994</v>
      </c>
      <c r="U51">
        <v>128.03888129998799</v>
      </c>
      <c r="V51" t="s">
        <v>39</v>
      </c>
      <c r="W51">
        <v>1.71400370000628</v>
      </c>
      <c r="X51" t="s">
        <v>33</v>
      </c>
      <c r="Y51" t="s">
        <v>34</v>
      </c>
      <c r="Z51">
        <v>1</v>
      </c>
      <c r="AA51" t="s">
        <v>35</v>
      </c>
      <c r="AB51" t="s">
        <v>36</v>
      </c>
      <c r="AD51" t="s">
        <v>37</v>
      </c>
      <c r="AE51">
        <v>59.960701756987</v>
      </c>
      <c r="AF51" t="s">
        <v>38</v>
      </c>
    </row>
    <row r="52" spans="1:32" x14ac:dyDescent="0.3">
      <c r="A52">
        <v>67</v>
      </c>
      <c r="B52">
        <v>75</v>
      </c>
      <c r="C52">
        <v>119</v>
      </c>
      <c r="D52">
        <v>50</v>
      </c>
      <c r="E52">
        <v>1</v>
      </c>
      <c r="F52">
        <v>7</v>
      </c>
      <c r="G52" t="s">
        <v>32</v>
      </c>
      <c r="H52">
        <v>0.97393529998953399</v>
      </c>
      <c r="I52" t="s">
        <v>33</v>
      </c>
      <c r="J52">
        <v>7</v>
      </c>
      <c r="K52">
        <v>1</v>
      </c>
      <c r="L52">
        <v>50</v>
      </c>
      <c r="M52">
        <v>5</v>
      </c>
      <c r="N52">
        <v>128.054970099998</v>
      </c>
      <c r="P52">
        <v>128.04652080000901</v>
      </c>
      <c r="Q52">
        <v>128.054970099998</v>
      </c>
      <c r="R52">
        <v>129.03834030000101</v>
      </c>
      <c r="S52">
        <v>129.03834030000101</v>
      </c>
      <c r="T52">
        <v>129.054915099986</v>
      </c>
      <c r="U52">
        <v>130.022959499998</v>
      </c>
      <c r="V52" t="s">
        <v>32</v>
      </c>
      <c r="W52">
        <v>0.97393529998953399</v>
      </c>
      <c r="X52" t="s">
        <v>33</v>
      </c>
      <c r="Y52" t="s">
        <v>34</v>
      </c>
      <c r="Z52">
        <v>1</v>
      </c>
      <c r="AA52" t="s">
        <v>35</v>
      </c>
      <c r="AB52" t="s">
        <v>36</v>
      </c>
      <c r="AD52" t="s">
        <v>37</v>
      </c>
      <c r="AE52">
        <v>59.960701756987</v>
      </c>
      <c r="AF52" t="s">
        <v>38</v>
      </c>
    </row>
    <row r="53" spans="1:32" x14ac:dyDescent="0.3">
      <c r="A53">
        <v>78</v>
      </c>
      <c r="B53">
        <v>80</v>
      </c>
      <c r="C53">
        <v>162</v>
      </c>
      <c r="D53">
        <v>51</v>
      </c>
      <c r="E53">
        <v>2</v>
      </c>
      <c r="F53">
        <v>7</v>
      </c>
      <c r="G53" t="s">
        <v>32</v>
      </c>
      <c r="H53">
        <v>0.94058809999842197</v>
      </c>
      <c r="I53" t="s">
        <v>33</v>
      </c>
      <c r="J53">
        <v>7</v>
      </c>
      <c r="K53">
        <v>2</v>
      </c>
      <c r="L53">
        <v>51</v>
      </c>
      <c r="M53">
        <v>6</v>
      </c>
      <c r="N53">
        <v>130.03847520001</v>
      </c>
      <c r="P53">
        <v>130.028809999988</v>
      </c>
      <c r="Q53">
        <v>130.03847520001</v>
      </c>
      <c r="R53">
        <v>131.03831709999901</v>
      </c>
      <c r="S53">
        <v>131.03831709999901</v>
      </c>
      <c r="T53">
        <v>131.03831709999901</v>
      </c>
      <c r="U53">
        <v>131.98873420001399</v>
      </c>
      <c r="V53" t="s">
        <v>32</v>
      </c>
      <c r="W53">
        <v>0.94058809999842197</v>
      </c>
      <c r="X53" t="s">
        <v>33</v>
      </c>
      <c r="Y53" t="s">
        <v>34</v>
      </c>
      <c r="Z53">
        <v>1</v>
      </c>
      <c r="AA53" t="s">
        <v>35</v>
      </c>
      <c r="AB53" t="s">
        <v>36</v>
      </c>
      <c r="AD53" t="s">
        <v>37</v>
      </c>
      <c r="AE53">
        <v>59.960701756987</v>
      </c>
      <c r="AF53" t="s">
        <v>38</v>
      </c>
    </row>
    <row r="54" spans="1:32" x14ac:dyDescent="0.3">
      <c r="A54">
        <v>11</v>
      </c>
      <c r="B54">
        <v>30</v>
      </c>
      <c r="C54">
        <v>7</v>
      </c>
      <c r="D54">
        <v>52</v>
      </c>
      <c r="E54">
        <v>3</v>
      </c>
      <c r="F54">
        <v>7</v>
      </c>
      <c r="G54" t="s">
        <v>32</v>
      </c>
      <c r="H54">
        <v>1.7862962000072</v>
      </c>
      <c r="I54" t="s">
        <v>33</v>
      </c>
      <c r="J54">
        <v>7</v>
      </c>
      <c r="K54">
        <v>3</v>
      </c>
      <c r="L54">
        <v>52</v>
      </c>
      <c r="M54">
        <v>0</v>
      </c>
      <c r="N54">
        <v>132.004794300009</v>
      </c>
      <c r="P54">
        <v>131.99543070001499</v>
      </c>
      <c r="Q54">
        <v>132.004794300009</v>
      </c>
      <c r="R54">
        <v>132.98780090000901</v>
      </c>
      <c r="S54">
        <v>132.98780090000901</v>
      </c>
      <c r="T54">
        <v>133.004486399993</v>
      </c>
      <c r="U54">
        <v>134.789055700006</v>
      </c>
      <c r="V54" t="s">
        <v>32</v>
      </c>
      <c r="W54">
        <v>1.7862962000072</v>
      </c>
      <c r="X54" t="s">
        <v>33</v>
      </c>
      <c r="Y54" t="s">
        <v>34</v>
      </c>
      <c r="Z54">
        <v>1</v>
      </c>
      <c r="AA54" t="s">
        <v>35</v>
      </c>
      <c r="AB54" t="s">
        <v>36</v>
      </c>
      <c r="AD54" t="s">
        <v>37</v>
      </c>
      <c r="AE54">
        <v>59.960701756987</v>
      </c>
      <c r="AF54" t="s">
        <v>38</v>
      </c>
    </row>
    <row r="55" spans="1:32" x14ac:dyDescent="0.3">
      <c r="A55">
        <v>40</v>
      </c>
      <c r="B55">
        <v>55</v>
      </c>
      <c r="C55">
        <v>62</v>
      </c>
      <c r="D55">
        <v>53</v>
      </c>
      <c r="E55">
        <v>4</v>
      </c>
      <c r="F55">
        <v>7</v>
      </c>
      <c r="G55" t="s">
        <v>32</v>
      </c>
      <c r="H55">
        <v>0.93052130000432898</v>
      </c>
      <c r="I55" t="s">
        <v>33</v>
      </c>
      <c r="J55">
        <v>7</v>
      </c>
      <c r="K55">
        <v>4</v>
      </c>
      <c r="L55">
        <v>53</v>
      </c>
      <c r="M55">
        <v>3</v>
      </c>
      <c r="N55">
        <v>134.804989299998</v>
      </c>
      <c r="P55">
        <v>134.79539600000101</v>
      </c>
      <c r="Q55">
        <v>134.804989299998</v>
      </c>
      <c r="R55">
        <v>135.805122399993</v>
      </c>
      <c r="S55">
        <v>135.805122399993</v>
      </c>
      <c r="T55">
        <v>135.805122399993</v>
      </c>
      <c r="U55">
        <v>136.73880089999801</v>
      </c>
      <c r="V55" t="s">
        <v>32</v>
      </c>
      <c r="W55">
        <v>0.93052130000432898</v>
      </c>
      <c r="X55" t="s">
        <v>33</v>
      </c>
      <c r="Y55" t="s">
        <v>34</v>
      </c>
      <c r="Z55">
        <v>1</v>
      </c>
      <c r="AA55" t="s">
        <v>35</v>
      </c>
      <c r="AB55" t="s">
        <v>36</v>
      </c>
      <c r="AD55" t="s">
        <v>37</v>
      </c>
      <c r="AE55">
        <v>59.960701756987</v>
      </c>
      <c r="AF55" t="s">
        <v>38</v>
      </c>
    </row>
    <row r="56" spans="1:32" x14ac:dyDescent="0.3">
      <c r="A56">
        <v>27</v>
      </c>
      <c r="B56">
        <v>50</v>
      </c>
      <c r="C56">
        <v>21</v>
      </c>
      <c r="D56">
        <v>54</v>
      </c>
      <c r="E56">
        <v>5</v>
      </c>
      <c r="F56">
        <v>7</v>
      </c>
      <c r="G56" t="s">
        <v>39</v>
      </c>
      <c r="H56">
        <v>0.87912580001284302</v>
      </c>
      <c r="I56" t="s">
        <v>33</v>
      </c>
      <c r="J56">
        <v>7</v>
      </c>
      <c r="K56">
        <v>5</v>
      </c>
      <c r="L56">
        <v>54</v>
      </c>
      <c r="M56">
        <v>2</v>
      </c>
      <c r="N56">
        <v>136.75493719999201</v>
      </c>
      <c r="P56">
        <v>136.74585649999699</v>
      </c>
      <c r="Q56">
        <v>136.75493719999201</v>
      </c>
      <c r="R56">
        <v>137.75447439998899</v>
      </c>
      <c r="S56">
        <v>137.75447439998899</v>
      </c>
      <c r="T56">
        <v>137.75447439998899</v>
      </c>
      <c r="U56">
        <v>138.638735000015</v>
      </c>
      <c r="V56" t="s">
        <v>39</v>
      </c>
      <c r="W56">
        <v>0.87912580001284302</v>
      </c>
      <c r="X56" t="s">
        <v>33</v>
      </c>
      <c r="Y56" t="s">
        <v>34</v>
      </c>
      <c r="Z56">
        <v>1</v>
      </c>
      <c r="AA56" t="s">
        <v>35</v>
      </c>
      <c r="AB56" t="s">
        <v>36</v>
      </c>
      <c r="AD56" t="s">
        <v>37</v>
      </c>
      <c r="AE56">
        <v>59.960701756987</v>
      </c>
      <c r="AF56" t="s">
        <v>38</v>
      </c>
    </row>
    <row r="57" spans="1:32" x14ac:dyDescent="0.3">
      <c r="A57">
        <v>49</v>
      </c>
      <c r="B57">
        <v>60</v>
      </c>
      <c r="C57">
        <v>89</v>
      </c>
      <c r="D57">
        <v>55</v>
      </c>
      <c r="E57">
        <v>6</v>
      </c>
      <c r="F57">
        <v>7</v>
      </c>
      <c r="G57" t="s">
        <v>32</v>
      </c>
      <c r="H57">
        <v>0.69611339998664301</v>
      </c>
      <c r="I57" t="s">
        <v>33</v>
      </c>
      <c r="J57">
        <v>7</v>
      </c>
      <c r="K57">
        <v>6</v>
      </c>
      <c r="L57">
        <v>55</v>
      </c>
      <c r="M57">
        <v>4</v>
      </c>
      <c r="N57">
        <v>138.65498699998699</v>
      </c>
      <c r="P57">
        <v>138.64487650000899</v>
      </c>
      <c r="Q57">
        <v>138.65498699998699</v>
      </c>
      <c r="R57">
        <v>139.63812160000001</v>
      </c>
      <c r="S57">
        <v>139.63812160000001</v>
      </c>
      <c r="T57">
        <v>139.65501670000901</v>
      </c>
      <c r="U57">
        <v>140.338952299993</v>
      </c>
      <c r="V57" t="s">
        <v>32</v>
      </c>
      <c r="W57">
        <v>0.69611339998664301</v>
      </c>
      <c r="X57" t="s">
        <v>33</v>
      </c>
      <c r="Y57" t="s">
        <v>34</v>
      </c>
      <c r="Z57">
        <v>1</v>
      </c>
      <c r="AA57" t="s">
        <v>35</v>
      </c>
      <c r="AB57" t="s">
        <v>36</v>
      </c>
      <c r="AD57" t="s">
        <v>37</v>
      </c>
      <c r="AE57">
        <v>59.960701756987</v>
      </c>
      <c r="AF57" t="s">
        <v>38</v>
      </c>
    </row>
    <row r="58" spans="1:32" x14ac:dyDescent="0.3">
      <c r="A58">
        <v>40</v>
      </c>
      <c r="B58">
        <v>55</v>
      </c>
      <c r="C58">
        <v>62</v>
      </c>
      <c r="D58">
        <v>56</v>
      </c>
      <c r="E58">
        <v>0</v>
      </c>
      <c r="F58">
        <v>8</v>
      </c>
      <c r="G58" t="s">
        <v>32</v>
      </c>
      <c r="H58">
        <v>1.7176433000131499</v>
      </c>
      <c r="I58" t="s">
        <v>33</v>
      </c>
      <c r="J58">
        <v>8</v>
      </c>
      <c r="K58">
        <v>0</v>
      </c>
      <c r="L58">
        <v>56</v>
      </c>
      <c r="M58">
        <v>3</v>
      </c>
      <c r="N58">
        <v>140.35493390000099</v>
      </c>
      <c r="P58">
        <v>140.34580780001099</v>
      </c>
      <c r="Q58">
        <v>140.35493390000099</v>
      </c>
      <c r="R58">
        <v>141.338140900013</v>
      </c>
      <c r="S58">
        <v>141.338140900013</v>
      </c>
      <c r="T58">
        <v>141.35475220001501</v>
      </c>
      <c r="U58">
        <v>143.072201000002</v>
      </c>
      <c r="V58" t="s">
        <v>32</v>
      </c>
      <c r="W58">
        <v>1.7176433000131499</v>
      </c>
      <c r="X58" t="s">
        <v>33</v>
      </c>
      <c r="Y58" t="s">
        <v>34</v>
      </c>
      <c r="Z58">
        <v>1</v>
      </c>
      <c r="AA58" t="s">
        <v>35</v>
      </c>
      <c r="AB58" t="s">
        <v>36</v>
      </c>
      <c r="AD58" t="s">
        <v>37</v>
      </c>
      <c r="AE58">
        <v>59.960701756987</v>
      </c>
      <c r="AF58" t="s">
        <v>38</v>
      </c>
    </row>
    <row r="59" spans="1:32" x14ac:dyDescent="0.3">
      <c r="A59">
        <v>67</v>
      </c>
      <c r="B59">
        <v>75</v>
      </c>
      <c r="C59">
        <v>119</v>
      </c>
      <c r="D59">
        <v>57</v>
      </c>
      <c r="E59">
        <v>1</v>
      </c>
      <c r="F59">
        <v>8</v>
      </c>
      <c r="G59" t="s">
        <v>32</v>
      </c>
      <c r="H59">
        <v>1.0209855000139201</v>
      </c>
      <c r="I59" t="s">
        <v>33</v>
      </c>
      <c r="J59">
        <v>8</v>
      </c>
      <c r="K59">
        <v>1</v>
      </c>
      <c r="L59">
        <v>57</v>
      </c>
      <c r="M59">
        <v>5</v>
      </c>
      <c r="N59">
        <v>143.08816590000001</v>
      </c>
      <c r="P59">
        <v>143.07816390000499</v>
      </c>
      <c r="Q59">
        <v>143.08816590000001</v>
      </c>
      <c r="R59">
        <v>144.08835100001301</v>
      </c>
      <c r="S59">
        <v>144.08835100001301</v>
      </c>
      <c r="T59">
        <v>144.08835100001301</v>
      </c>
      <c r="U59">
        <v>145.12193829999799</v>
      </c>
      <c r="V59" t="s">
        <v>32</v>
      </c>
      <c r="W59">
        <v>1.0209855000139201</v>
      </c>
      <c r="X59" t="s">
        <v>33</v>
      </c>
      <c r="Y59" t="s">
        <v>34</v>
      </c>
      <c r="Z59">
        <v>1</v>
      </c>
      <c r="AA59" t="s">
        <v>35</v>
      </c>
      <c r="AB59" t="s">
        <v>36</v>
      </c>
      <c r="AD59" t="s">
        <v>37</v>
      </c>
      <c r="AE59">
        <v>59.960701756987</v>
      </c>
      <c r="AF59" t="s">
        <v>38</v>
      </c>
    </row>
    <row r="60" spans="1:32" x14ac:dyDescent="0.3">
      <c r="A60">
        <v>27</v>
      </c>
      <c r="B60">
        <v>50</v>
      </c>
      <c r="C60">
        <v>21</v>
      </c>
      <c r="D60">
        <v>58</v>
      </c>
      <c r="E60">
        <v>2</v>
      </c>
      <c r="F60">
        <v>8</v>
      </c>
      <c r="G60" t="s">
        <v>32</v>
      </c>
      <c r="H60">
        <v>0.78783210000255999</v>
      </c>
      <c r="I60" t="s">
        <v>33</v>
      </c>
      <c r="J60">
        <v>8</v>
      </c>
      <c r="K60">
        <v>2</v>
      </c>
      <c r="L60">
        <v>58</v>
      </c>
      <c r="M60">
        <v>2</v>
      </c>
      <c r="N60">
        <v>145.138052499998</v>
      </c>
      <c r="P60">
        <v>145.130225</v>
      </c>
      <c r="Q60">
        <v>145.138052499998</v>
      </c>
      <c r="R60">
        <v>146.12159200001</v>
      </c>
      <c r="S60">
        <v>146.12159200001</v>
      </c>
      <c r="T60">
        <v>146.13804739998801</v>
      </c>
      <c r="U60">
        <v>146.92235470001401</v>
      </c>
      <c r="V60" t="s">
        <v>32</v>
      </c>
      <c r="W60">
        <v>0.78783210000255999</v>
      </c>
      <c r="X60" t="s">
        <v>33</v>
      </c>
      <c r="Y60" t="s">
        <v>34</v>
      </c>
      <c r="Z60">
        <v>1</v>
      </c>
      <c r="AA60" t="s">
        <v>35</v>
      </c>
      <c r="AB60" t="s">
        <v>36</v>
      </c>
      <c r="AD60" t="s">
        <v>37</v>
      </c>
      <c r="AE60">
        <v>59.960701756987</v>
      </c>
      <c r="AF60" t="s">
        <v>38</v>
      </c>
    </row>
    <row r="61" spans="1:32" x14ac:dyDescent="0.3">
      <c r="A61">
        <v>15</v>
      </c>
      <c r="B61">
        <v>35</v>
      </c>
      <c r="C61">
        <v>13</v>
      </c>
      <c r="D61">
        <v>59</v>
      </c>
      <c r="E61">
        <v>3</v>
      </c>
      <c r="F61">
        <v>8</v>
      </c>
      <c r="G61" t="s">
        <v>39</v>
      </c>
      <c r="H61">
        <v>0.66951889998745096</v>
      </c>
      <c r="I61" t="s">
        <v>33</v>
      </c>
      <c r="J61">
        <v>8</v>
      </c>
      <c r="K61">
        <v>3</v>
      </c>
      <c r="L61">
        <v>59</v>
      </c>
      <c r="M61">
        <v>1</v>
      </c>
      <c r="N61">
        <v>146.93828669999399</v>
      </c>
      <c r="P61">
        <v>146.928447399986</v>
      </c>
      <c r="Q61">
        <v>146.93828669999399</v>
      </c>
      <c r="R61">
        <v>147.92153160000399</v>
      </c>
      <c r="S61">
        <v>147.92153160000399</v>
      </c>
      <c r="T61">
        <v>147.93829029999301</v>
      </c>
      <c r="U61">
        <v>148.605719999992</v>
      </c>
      <c r="V61" t="s">
        <v>39</v>
      </c>
      <c r="W61">
        <v>0.66951889998745096</v>
      </c>
      <c r="X61" t="s">
        <v>33</v>
      </c>
      <c r="Y61" t="s">
        <v>34</v>
      </c>
      <c r="Z61">
        <v>1</v>
      </c>
      <c r="AA61" t="s">
        <v>35</v>
      </c>
      <c r="AB61" t="s">
        <v>36</v>
      </c>
      <c r="AD61" t="s">
        <v>37</v>
      </c>
      <c r="AE61">
        <v>59.960701756987</v>
      </c>
      <c r="AF61" t="s">
        <v>38</v>
      </c>
    </row>
    <row r="62" spans="1:32" x14ac:dyDescent="0.3">
      <c r="A62">
        <v>78</v>
      </c>
      <c r="B62">
        <v>80</v>
      </c>
      <c r="C62">
        <v>162</v>
      </c>
      <c r="D62">
        <v>60</v>
      </c>
      <c r="E62">
        <v>4</v>
      </c>
      <c r="F62">
        <v>8</v>
      </c>
      <c r="G62" t="s">
        <v>32</v>
      </c>
      <c r="H62">
        <v>0.81968570000026297</v>
      </c>
      <c r="I62" t="s">
        <v>33</v>
      </c>
      <c r="J62">
        <v>8</v>
      </c>
      <c r="K62">
        <v>4</v>
      </c>
      <c r="L62">
        <v>60</v>
      </c>
      <c r="M62">
        <v>6</v>
      </c>
      <c r="N62">
        <v>148.621519200009</v>
      </c>
      <c r="P62">
        <v>148.612943799991</v>
      </c>
      <c r="Q62">
        <v>148.621519200009</v>
      </c>
      <c r="R62">
        <v>149.60492420001501</v>
      </c>
      <c r="S62">
        <v>149.60492420001501</v>
      </c>
      <c r="T62">
        <v>149.621557500009</v>
      </c>
      <c r="U62">
        <v>150.4389219</v>
      </c>
      <c r="V62" t="s">
        <v>32</v>
      </c>
      <c r="W62">
        <v>0.81968570000026297</v>
      </c>
      <c r="X62" t="s">
        <v>33</v>
      </c>
      <c r="Y62" t="s">
        <v>34</v>
      </c>
      <c r="Z62">
        <v>1</v>
      </c>
      <c r="AA62" t="s">
        <v>35</v>
      </c>
      <c r="AB62" t="s">
        <v>36</v>
      </c>
      <c r="AD62" t="s">
        <v>37</v>
      </c>
      <c r="AE62">
        <v>59.960701756987</v>
      </c>
      <c r="AF62" t="s">
        <v>38</v>
      </c>
    </row>
    <row r="63" spans="1:32" x14ac:dyDescent="0.3">
      <c r="A63">
        <v>49</v>
      </c>
      <c r="B63">
        <v>60</v>
      </c>
      <c r="C63">
        <v>89</v>
      </c>
      <c r="D63">
        <v>61</v>
      </c>
      <c r="E63">
        <v>5</v>
      </c>
      <c r="F63">
        <v>8</v>
      </c>
      <c r="G63" t="s">
        <v>32</v>
      </c>
      <c r="H63">
        <v>1.34033909998834</v>
      </c>
      <c r="I63" t="s">
        <v>33</v>
      </c>
      <c r="J63">
        <v>8</v>
      </c>
      <c r="K63">
        <v>5</v>
      </c>
      <c r="L63">
        <v>61</v>
      </c>
      <c r="M63">
        <v>4</v>
      </c>
      <c r="N63">
        <v>150.45493810001</v>
      </c>
      <c r="P63">
        <v>150.44542840000901</v>
      </c>
      <c r="Q63">
        <v>150.45493810001</v>
      </c>
      <c r="R63">
        <v>151.45497170000399</v>
      </c>
      <c r="S63">
        <v>151.45497170000399</v>
      </c>
      <c r="T63">
        <v>151.45497170000399</v>
      </c>
      <c r="U63">
        <v>152.80550429999099</v>
      </c>
      <c r="V63" t="s">
        <v>32</v>
      </c>
      <c r="W63">
        <v>1.34033909998834</v>
      </c>
      <c r="X63" t="s">
        <v>33</v>
      </c>
      <c r="Y63" t="s">
        <v>34</v>
      </c>
      <c r="Z63">
        <v>1</v>
      </c>
      <c r="AA63" t="s">
        <v>35</v>
      </c>
      <c r="AB63" t="s">
        <v>36</v>
      </c>
      <c r="AD63" t="s">
        <v>37</v>
      </c>
      <c r="AE63">
        <v>59.960701756987</v>
      </c>
      <c r="AF63" t="s">
        <v>38</v>
      </c>
    </row>
    <row r="64" spans="1:32" x14ac:dyDescent="0.3">
      <c r="A64">
        <v>11</v>
      </c>
      <c r="B64">
        <v>30</v>
      </c>
      <c r="C64">
        <v>7</v>
      </c>
      <c r="D64">
        <v>62</v>
      </c>
      <c r="E64">
        <v>6</v>
      </c>
      <c r="F64">
        <v>8</v>
      </c>
      <c r="G64" t="s">
        <v>39</v>
      </c>
      <c r="H64">
        <v>0.61836200000834596</v>
      </c>
      <c r="I64" t="s">
        <v>33</v>
      </c>
      <c r="J64">
        <v>8</v>
      </c>
      <c r="K64">
        <v>6</v>
      </c>
      <c r="L64">
        <v>62</v>
      </c>
      <c r="M64">
        <v>0</v>
      </c>
      <c r="N64">
        <v>152.821381999994</v>
      </c>
      <c r="P64">
        <v>152.81221840000899</v>
      </c>
      <c r="Q64">
        <v>152.821381999994</v>
      </c>
      <c r="R64">
        <v>153.804856200004</v>
      </c>
      <c r="S64">
        <v>153.804856200004</v>
      </c>
      <c r="T64">
        <v>153.82121940000701</v>
      </c>
      <c r="U64">
        <v>154.43894379999199</v>
      </c>
      <c r="V64" t="s">
        <v>39</v>
      </c>
      <c r="W64">
        <v>0.61836200000834596</v>
      </c>
      <c r="X64" t="s">
        <v>33</v>
      </c>
      <c r="Y64" t="s">
        <v>34</v>
      </c>
      <c r="Z64">
        <v>1</v>
      </c>
      <c r="AA64" t="s">
        <v>35</v>
      </c>
      <c r="AB64" t="s">
        <v>36</v>
      </c>
      <c r="AD64" t="s">
        <v>37</v>
      </c>
      <c r="AE64">
        <v>59.960701756987</v>
      </c>
      <c r="AF64" t="s">
        <v>38</v>
      </c>
    </row>
    <row r="65" spans="1:32" x14ac:dyDescent="0.3">
      <c r="A65">
        <v>78</v>
      </c>
      <c r="B65">
        <v>80</v>
      </c>
      <c r="C65">
        <v>162</v>
      </c>
      <c r="D65">
        <v>63</v>
      </c>
      <c r="E65">
        <v>0</v>
      </c>
      <c r="F65">
        <v>9</v>
      </c>
      <c r="G65" t="s">
        <v>32</v>
      </c>
      <c r="H65">
        <v>0.97872660000575695</v>
      </c>
      <c r="I65" t="s">
        <v>33</v>
      </c>
      <c r="J65">
        <v>9</v>
      </c>
      <c r="K65">
        <v>0</v>
      </c>
      <c r="L65">
        <v>63</v>
      </c>
      <c r="M65">
        <v>6</v>
      </c>
      <c r="N65">
        <v>154.454918000003</v>
      </c>
      <c r="P65">
        <v>154.445118500007</v>
      </c>
      <c r="Q65">
        <v>154.454918000003</v>
      </c>
      <c r="R65">
        <v>155.43813749999299</v>
      </c>
      <c r="S65">
        <v>155.43813749999299</v>
      </c>
      <c r="T65">
        <v>155.455061199987</v>
      </c>
      <c r="U65">
        <v>156.42160400000199</v>
      </c>
      <c r="V65" t="s">
        <v>32</v>
      </c>
      <c r="W65">
        <v>0.97872660000575695</v>
      </c>
      <c r="X65" t="s">
        <v>33</v>
      </c>
      <c r="Y65" t="s">
        <v>34</v>
      </c>
      <c r="Z65">
        <v>1</v>
      </c>
      <c r="AA65" t="s">
        <v>35</v>
      </c>
      <c r="AB65" t="s">
        <v>36</v>
      </c>
      <c r="AD65" t="s">
        <v>37</v>
      </c>
      <c r="AE65">
        <v>59.960701756987</v>
      </c>
      <c r="AF65" t="s">
        <v>38</v>
      </c>
    </row>
    <row r="66" spans="1:32" x14ac:dyDescent="0.3">
      <c r="A66">
        <v>67</v>
      </c>
      <c r="B66">
        <v>75</v>
      </c>
      <c r="C66">
        <v>119</v>
      </c>
      <c r="D66">
        <v>64</v>
      </c>
      <c r="E66">
        <v>1</v>
      </c>
      <c r="F66">
        <v>9</v>
      </c>
      <c r="G66" t="s">
        <v>32</v>
      </c>
      <c r="H66">
        <v>1.59936789999483</v>
      </c>
      <c r="I66" t="s">
        <v>33</v>
      </c>
      <c r="J66">
        <v>9</v>
      </c>
      <c r="K66">
        <v>1</v>
      </c>
      <c r="L66">
        <v>64</v>
      </c>
      <c r="M66">
        <v>5</v>
      </c>
      <c r="N66">
        <v>156.43782849999801</v>
      </c>
      <c r="P66">
        <v>156.430566800001</v>
      </c>
      <c r="Q66">
        <v>156.43782849999801</v>
      </c>
      <c r="R66">
        <v>157.42138449999001</v>
      </c>
      <c r="S66">
        <v>157.42138449999001</v>
      </c>
      <c r="T66">
        <v>157.43828930001399</v>
      </c>
      <c r="U66">
        <v>159.022194399993</v>
      </c>
      <c r="V66" t="s">
        <v>32</v>
      </c>
      <c r="W66">
        <v>1.59936789999483</v>
      </c>
      <c r="X66" t="s">
        <v>33</v>
      </c>
      <c r="Y66" t="s">
        <v>34</v>
      </c>
      <c r="Z66">
        <v>1</v>
      </c>
      <c r="AA66" t="s">
        <v>35</v>
      </c>
      <c r="AB66" t="s">
        <v>36</v>
      </c>
      <c r="AD66" t="s">
        <v>37</v>
      </c>
      <c r="AE66">
        <v>59.960701756987</v>
      </c>
      <c r="AF66" t="s">
        <v>38</v>
      </c>
    </row>
    <row r="67" spans="1:32" x14ac:dyDescent="0.3">
      <c r="A67">
        <v>11</v>
      </c>
      <c r="B67">
        <v>30</v>
      </c>
      <c r="C67">
        <v>7</v>
      </c>
      <c r="D67">
        <v>65</v>
      </c>
      <c r="E67">
        <v>2</v>
      </c>
      <c r="F67">
        <v>9</v>
      </c>
      <c r="G67" t="s">
        <v>39</v>
      </c>
      <c r="H67">
        <v>1.7634390000021001</v>
      </c>
      <c r="I67" t="s">
        <v>33</v>
      </c>
      <c r="J67">
        <v>9</v>
      </c>
      <c r="K67">
        <v>2</v>
      </c>
      <c r="L67">
        <v>65</v>
      </c>
      <c r="M67">
        <v>0</v>
      </c>
      <c r="N67">
        <v>159.03798059999801</v>
      </c>
      <c r="P67">
        <v>159.02847889999899</v>
      </c>
      <c r="Q67">
        <v>159.03798059999801</v>
      </c>
      <c r="R67">
        <v>160.021621799998</v>
      </c>
      <c r="S67">
        <v>160.021621799998</v>
      </c>
      <c r="T67">
        <v>160.03828539999</v>
      </c>
      <c r="U67">
        <v>161.78887409999101</v>
      </c>
      <c r="V67" t="s">
        <v>39</v>
      </c>
      <c r="W67">
        <v>1.7634390000021001</v>
      </c>
      <c r="X67" t="s">
        <v>33</v>
      </c>
      <c r="Y67" t="s">
        <v>34</v>
      </c>
      <c r="Z67">
        <v>1</v>
      </c>
      <c r="AA67" t="s">
        <v>35</v>
      </c>
      <c r="AB67" t="s">
        <v>36</v>
      </c>
      <c r="AD67" t="s">
        <v>37</v>
      </c>
      <c r="AE67">
        <v>59.960701756987</v>
      </c>
      <c r="AF67" t="s">
        <v>38</v>
      </c>
    </row>
    <row r="68" spans="1:32" x14ac:dyDescent="0.3">
      <c r="A68">
        <v>27</v>
      </c>
      <c r="B68">
        <v>50</v>
      </c>
      <c r="C68">
        <v>21</v>
      </c>
      <c r="D68">
        <v>66</v>
      </c>
      <c r="E68">
        <v>3</v>
      </c>
      <c r="F68">
        <v>9</v>
      </c>
      <c r="G68" t="s">
        <v>39</v>
      </c>
      <c r="H68">
        <v>1.4903832999989299</v>
      </c>
      <c r="I68" t="s">
        <v>33</v>
      </c>
      <c r="J68">
        <v>9</v>
      </c>
      <c r="K68">
        <v>3</v>
      </c>
      <c r="L68">
        <v>66</v>
      </c>
      <c r="M68">
        <v>2</v>
      </c>
      <c r="N68">
        <v>161.80476070000401</v>
      </c>
      <c r="P68">
        <v>161.79574189998601</v>
      </c>
      <c r="Q68">
        <v>161.80476070000401</v>
      </c>
      <c r="R68">
        <v>162.805043100001</v>
      </c>
      <c r="S68">
        <v>162.805043100001</v>
      </c>
      <c r="T68">
        <v>162.805043100001</v>
      </c>
      <c r="U68">
        <v>164.30535849998699</v>
      </c>
      <c r="V68" t="s">
        <v>39</v>
      </c>
      <c r="W68">
        <v>1.4903832999989299</v>
      </c>
      <c r="X68" t="s">
        <v>33</v>
      </c>
      <c r="Y68" t="s">
        <v>34</v>
      </c>
      <c r="Z68">
        <v>1</v>
      </c>
      <c r="AA68" t="s">
        <v>35</v>
      </c>
      <c r="AB68" t="s">
        <v>36</v>
      </c>
      <c r="AD68" t="s">
        <v>37</v>
      </c>
      <c r="AE68">
        <v>59.960701756987</v>
      </c>
      <c r="AF68" t="s">
        <v>38</v>
      </c>
    </row>
    <row r="69" spans="1:32" x14ac:dyDescent="0.3">
      <c r="A69">
        <v>40</v>
      </c>
      <c r="B69">
        <v>55</v>
      </c>
      <c r="C69">
        <v>62</v>
      </c>
      <c r="D69">
        <v>67</v>
      </c>
      <c r="E69">
        <v>4</v>
      </c>
      <c r="F69">
        <v>9</v>
      </c>
      <c r="G69" t="s">
        <v>32</v>
      </c>
      <c r="H69">
        <v>0.78748600001563296</v>
      </c>
      <c r="I69" t="s">
        <v>33</v>
      </c>
      <c r="J69">
        <v>9</v>
      </c>
      <c r="K69">
        <v>4</v>
      </c>
      <c r="L69">
        <v>67</v>
      </c>
      <c r="M69">
        <v>3</v>
      </c>
      <c r="N69">
        <v>164.32138830001301</v>
      </c>
      <c r="P69">
        <v>164.311630799988</v>
      </c>
      <c r="Q69">
        <v>164.32138830001301</v>
      </c>
      <c r="R69">
        <v>165.305049599992</v>
      </c>
      <c r="S69">
        <v>165.305049599992</v>
      </c>
      <c r="T69">
        <v>165.32159790000799</v>
      </c>
      <c r="U69">
        <v>166.10549350001301</v>
      </c>
      <c r="V69" t="s">
        <v>32</v>
      </c>
      <c r="W69">
        <v>0.78748600001563296</v>
      </c>
      <c r="X69" t="s">
        <v>33</v>
      </c>
      <c r="Y69" t="s">
        <v>34</v>
      </c>
      <c r="Z69">
        <v>1</v>
      </c>
      <c r="AA69" t="s">
        <v>35</v>
      </c>
      <c r="AB69" t="s">
        <v>36</v>
      </c>
      <c r="AD69" t="s">
        <v>37</v>
      </c>
      <c r="AE69">
        <v>59.960701756987</v>
      </c>
      <c r="AF69" t="s">
        <v>38</v>
      </c>
    </row>
    <row r="70" spans="1:32" x14ac:dyDescent="0.3">
      <c r="A70">
        <v>49</v>
      </c>
      <c r="B70">
        <v>60</v>
      </c>
      <c r="C70">
        <v>89</v>
      </c>
      <c r="D70">
        <v>68</v>
      </c>
      <c r="E70">
        <v>5</v>
      </c>
      <c r="F70">
        <v>9</v>
      </c>
      <c r="G70" t="s">
        <v>32</v>
      </c>
      <c r="H70">
        <v>0.68276180000975695</v>
      </c>
      <c r="I70" t="s">
        <v>33</v>
      </c>
      <c r="J70">
        <v>9</v>
      </c>
      <c r="K70">
        <v>5</v>
      </c>
      <c r="L70">
        <v>68</v>
      </c>
      <c r="M70">
        <v>4</v>
      </c>
      <c r="N70">
        <v>166.121262300002</v>
      </c>
      <c r="P70">
        <v>166.11233329999899</v>
      </c>
      <c r="Q70">
        <v>166.121262300002</v>
      </c>
      <c r="R70">
        <v>167.10493599998799</v>
      </c>
      <c r="S70">
        <v>167.10493599998799</v>
      </c>
      <c r="T70">
        <v>167.12154540000401</v>
      </c>
      <c r="U70">
        <v>167.788955099997</v>
      </c>
      <c r="V70" t="s">
        <v>32</v>
      </c>
      <c r="W70">
        <v>0.68276180000975695</v>
      </c>
      <c r="X70" t="s">
        <v>33</v>
      </c>
      <c r="Y70" t="s">
        <v>34</v>
      </c>
      <c r="Z70">
        <v>1</v>
      </c>
      <c r="AA70" t="s">
        <v>35</v>
      </c>
      <c r="AB70" t="s">
        <v>36</v>
      </c>
      <c r="AD70" t="s">
        <v>37</v>
      </c>
      <c r="AE70">
        <v>59.960701756987</v>
      </c>
      <c r="AF70" t="s">
        <v>38</v>
      </c>
    </row>
    <row r="71" spans="1:32" x14ac:dyDescent="0.3">
      <c r="A71">
        <v>15</v>
      </c>
      <c r="B71">
        <v>35</v>
      </c>
      <c r="C71">
        <v>13</v>
      </c>
      <c r="D71">
        <v>69</v>
      </c>
      <c r="E71">
        <v>6</v>
      </c>
      <c r="F71">
        <v>9</v>
      </c>
      <c r="G71" t="s">
        <v>39</v>
      </c>
      <c r="H71">
        <v>1.0476802000193799</v>
      </c>
      <c r="I71" t="s">
        <v>33</v>
      </c>
      <c r="J71">
        <v>9</v>
      </c>
      <c r="K71">
        <v>6</v>
      </c>
      <c r="L71">
        <v>69</v>
      </c>
      <c r="M71">
        <v>1</v>
      </c>
      <c r="N71">
        <v>167.80475189999501</v>
      </c>
      <c r="P71">
        <v>167.795530300005</v>
      </c>
      <c r="Q71">
        <v>167.80475189999501</v>
      </c>
      <c r="R71">
        <v>168.78806590000701</v>
      </c>
      <c r="S71">
        <v>168.78806590000701</v>
      </c>
      <c r="T71">
        <v>168.80509440001299</v>
      </c>
      <c r="U71">
        <v>169.83864070000701</v>
      </c>
      <c r="V71" t="s">
        <v>39</v>
      </c>
      <c r="W71">
        <v>1.0476802000193799</v>
      </c>
      <c r="X71" t="s">
        <v>33</v>
      </c>
      <c r="Y71" t="s">
        <v>34</v>
      </c>
      <c r="Z71">
        <v>1</v>
      </c>
      <c r="AA71" t="s">
        <v>35</v>
      </c>
      <c r="AB71" t="s">
        <v>36</v>
      </c>
      <c r="AD71" t="s">
        <v>37</v>
      </c>
      <c r="AE71">
        <v>59.960701756987</v>
      </c>
      <c r="AF71" t="s">
        <v>38</v>
      </c>
    </row>
    <row r="72" spans="1:32" x14ac:dyDescent="0.3">
      <c r="A72">
        <v>49</v>
      </c>
      <c r="B72">
        <v>60</v>
      </c>
      <c r="C72">
        <v>89</v>
      </c>
      <c r="D72">
        <v>70</v>
      </c>
      <c r="E72">
        <v>0</v>
      </c>
      <c r="F72">
        <v>10</v>
      </c>
      <c r="G72" t="s">
        <v>32</v>
      </c>
      <c r="H72">
        <v>1.0798401000211</v>
      </c>
      <c r="I72" t="s">
        <v>33</v>
      </c>
      <c r="J72">
        <v>10</v>
      </c>
      <c r="K72">
        <v>0</v>
      </c>
      <c r="L72">
        <v>70</v>
      </c>
      <c r="M72">
        <v>4</v>
      </c>
      <c r="N72">
        <v>169.85484949999901</v>
      </c>
      <c r="P72">
        <v>169.84586060000501</v>
      </c>
      <c r="Q72">
        <v>169.85484949999901</v>
      </c>
      <c r="R72">
        <v>170.838421799999</v>
      </c>
      <c r="S72">
        <v>170.838421799999</v>
      </c>
      <c r="T72">
        <v>170.85488920001001</v>
      </c>
      <c r="U72">
        <v>171.92194259998999</v>
      </c>
      <c r="V72" t="s">
        <v>32</v>
      </c>
      <c r="W72">
        <v>1.0798401000211</v>
      </c>
      <c r="X72" t="s">
        <v>33</v>
      </c>
      <c r="Y72" t="s">
        <v>34</v>
      </c>
      <c r="Z72">
        <v>1</v>
      </c>
      <c r="AA72" t="s">
        <v>35</v>
      </c>
      <c r="AB72" t="s">
        <v>36</v>
      </c>
      <c r="AD72" t="s">
        <v>37</v>
      </c>
      <c r="AE72">
        <v>59.960701756987</v>
      </c>
      <c r="AF72" t="s">
        <v>38</v>
      </c>
    </row>
    <row r="73" spans="1:32" x14ac:dyDescent="0.3">
      <c r="A73">
        <v>15</v>
      </c>
      <c r="B73">
        <v>35</v>
      </c>
      <c r="C73">
        <v>13</v>
      </c>
      <c r="D73">
        <v>71</v>
      </c>
      <c r="E73">
        <v>1</v>
      </c>
      <c r="F73">
        <v>10</v>
      </c>
      <c r="G73" t="s">
        <v>32</v>
      </c>
      <c r="H73">
        <v>1.3756701000092999</v>
      </c>
      <c r="I73" t="s">
        <v>33</v>
      </c>
      <c r="J73">
        <v>10</v>
      </c>
      <c r="K73">
        <v>1</v>
      </c>
      <c r="L73">
        <v>71</v>
      </c>
      <c r="M73">
        <v>1</v>
      </c>
      <c r="N73">
        <v>171.938223300006</v>
      </c>
      <c r="P73">
        <v>171.92808539999501</v>
      </c>
      <c r="Q73">
        <v>171.938223300006</v>
      </c>
      <c r="R73">
        <v>172.92142279999001</v>
      </c>
      <c r="S73">
        <v>172.92142279999001</v>
      </c>
      <c r="T73">
        <v>172.93825989999399</v>
      </c>
      <c r="U73">
        <v>174.305703699996</v>
      </c>
      <c r="V73" t="s">
        <v>32</v>
      </c>
      <c r="W73">
        <v>1.3756701000092999</v>
      </c>
      <c r="X73" t="s">
        <v>33</v>
      </c>
      <c r="Y73" t="s">
        <v>34</v>
      </c>
      <c r="Z73">
        <v>1</v>
      </c>
      <c r="AA73" t="s">
        <v>35</v>
      </c>
      <c r="AB73" t="s">
        <v>36</v>
      </c>
      <c r="AD73" t="s">
        <v>37</v>
      </c>
      <c r="AE73">
        <v>59.960701756987</v>
      </c>
      <c r="AF73" t="s">
        <v>38</v>
      </c>
    </row>
    <row r="74" spans="1:32" x14ac:dyDescent="0.3">
      <c r="A74">
        <v>67</v>
      </c>
      <c r="B74">
        <v>75</v>
      </c>
      <c r="C74">
        <v>119</v>
      </c>
      <c r="D74">
        <v>72</v>
      </c>
      <c r="E74">
        <v>2</v>
      </c>
      <c r="F74">
        <v>10</v>
      </c>
      <c r="G74" t="s">
        <v>32</v>
      </c>
      <c r="H74">
        <v>1.2584841999923799</v>
      </c>
      <c r="I74" t="s">
        <v>33</v>
      </c>
      <c r="J74">
        <v>10</v>
      </c>
      <c r="K74">
        <v>2</v>
      </c>
      <c r="L74">
        <v>72</v>
      </c>
      <c r="M74">
        <v>5</v>
      </c>
      <c r="N74">
        <v>174.32143670000301</v>
      </c>
      <c r="P74">
        <v>174.312922400014</v>
      </c>
      <c r="Q74">
        <v>174.32143670000301</v>
      </c>
      <c r="R74">
        <v>175.32134819999899</v>
      </c>
      <c r="S74">
        <v>175.32134819999899</v>
      </c>
      <c r="T74">
        <v>175.32134819999899</v>
      </c>
      <c r="U74">
        <v>176.589012899989</v>
      </c>
      <c r="V74" t="s">
        <v>32</v>
      </c>
      <c r="W74">
        <v>1.2584841999923799</v>
      </c>
      <c r="X74" t="s">
        <v>33</v>
      </c>
      <c r="Y74" t="s">
        <v>34</v>
      </c>
      <c r="Z74">
        <v>1</v>
      </c>
      <c r="AA74" t="s">
        <v>35</v>
      </c>
      <c r="AB74" t="s">
        <v>36</v>
      </c>
      <c r="AD74" t="s">
        <v>37</v>
      </c>
      <c r="AE74">
        <v>59.960701756987</v>
      </c>
      <c r="AF74" t="s">
        <v>38</v>
      </c>
    </row>
    <row r="75" spans="1:32" x14ac:dyDescent="0.3">
      <c r="A75">
        <v>11</v>
      </c>
      <c r="B75">
        <v>30</v>
      </c>
      <c r="C75">
        <v>7</v>
      </c>
      <c r="D75">
        <v>73</v>
      </c>
      <c r="E75">
        <v>3</v>
      </c>
      <c r="F75">
        <v>10</v>
      </c>
      <c r="G75" t="s">
        <v>39</v>
      </c>
      <c r="H75">
        <v>0.921524899982614</v>
      </c>
      <c r="I75" t="s">
        <v>33</v>
      </c>
      <c r="J75">
        <v>10</v>
      </c>
      <c r="K75">
        <v>3</v>
      </c>
      <c r="L75">
        <v>73</v>
      </c>
      <c r="M75">
        <v>0</v>
      </c>
      <c r="N75">
        <v>176.60488679999199</v>
      </c>
      <c r="P75">
        <v>176.59558210000901</v>
      </c>
      <c r="Q75">
        <v>176.60488679999199</v>
      </c>
      <c r="R75">
        <v>177.58818429999499</v>
      </c>
      <c r="S75">
        <v>177.58818429999499</v>
      </c>
      <c r="T75">
        <v>177.605382600013</v>
      </c>
      <c r="U75">
        <v>178.52219389998899</v>
      </c>
      <c r="V75" t="s">
        <v>39</v>
      </c>
      <c r="W75">
        <v>0.921524899982614</v>
      </c>
      <c r="X75" t="s">
        <v>33</v>
      </c>
      <c r="Y75" t="s">
        <v>34</v>
      </c>
      <c r="Z75">
        <v>1</v>
      </c>
      <c r="AA75" t="s">
        <v>35</v>
      </c>
      <c r="AB75" t="s">
        <v>36</v>
      </c>
      <c r="AD75" t="s">
        <v>37</v>
      </c>
      <c r="AE75">
        <v>59.960701756987</v>
      </c>
      <c r="AF75" t="s">
        <v>38</v>
      </c>
    </row>
    <row r="76" spans="1:32" x14ac:dyDescent="0.3">
      <c r="A76">
        <v>40</v>
      </c>
      <c r="B76">
        <v>55</v>
      </c>
      <c r="C76">
        <v>62</v>
      </c>
      <c r="D76">
        <v>74</v>
      </c>
      <c r="E76">
        <v>4</v>
      </c>
      <c r="F76">
        <v>10</v>
      </c>
      <c r="G76" t="s">
        <v>32</v>
      </c>
      <c r="H76">
        <v>1.54447649998473</v>
      </c>
      <c r="I76" t="s">
        <v>33</v>
      </c>
      <c r="J76">
        <v>10</v>
      </c>
      <c r="K76">
        <v>4</v>
      </c>
      <c r="L76">
        <v>74</v>
      </c>
      <c r="M76">
        <v>3</v>
      </c>
      <c r="N76">
        <v>178.53817770001399</v>
      </c>
      <c r="P76">
        <v>178.52894940000201</v>
      </c>
      <c r="Q76">
        <v>178.53817770001399</v>
      </c>
      <c r="R76">
        <v>179.52135289998799</v>
      </c>
      <c r="S76">
        <v>179.52135289998799</v>
      </c>
      <c r="T76">
        <v>179.53824349999101</v>
      </c>
      <c r="U76">
        <v>181.07196619998999</v>
      </c>
      <c r="V76" t="s">
        <v>32</v>
      </c>
      <c r="W76">
        <v>1.54447649998473</v>
      </c>
      <c r="X76" t="s">
        <v>33</v>
      </c>
      <c r="Y76" t="s">
        <v>34</v>
      </c>
      <c r="Z76">
        <v>1</v>
      </c>
      <c r="AA76" t="s">
        <v>35</v>
      </c>
      <c r="AB76" t="s">
        <v>36</v>
      </c>
      <c r="AD76" t="s">
        <v>37</v>
      </c>
      <c r="AE76">
        <v>59.960701756987</v>
      </c>
      <c r="AF76" t="s">
        <v>38</v>
      </c>
    </row>
    <row r="77" spans="1:32" x14ac:dyDescent="0.3">
      <c r="A77">
        <v>27</v>
      </c>
      <c r="B77">
        <v>50</v>
      </c>
      <c r="C77">
        <v>21</v>
      </c>
      <c r="D77">
        <v>75</v>
      </c>
      <c r="E77">
        <v>5</v>
      </c>
      <c r="F77">
        <v>10</v>
      </c>
      <c r="G77" t="s">
        <v>39</v>
      </c>
      <c r="H77">
        <v>2.4346568999753799</v>
      </c>
      <c r="I77" t="s">
        <v>33</v>
      </c>
      <c r="J77">
        <v>10</v>
      </c>
      <c r="K77">
        <v>5</v>
      </c>
      <c r="L77">
        <v>75</v>
      </c>
      <c r="M77">
        <v>2</v>
      </c>
      <c r="N77">
        <v>181.08815319999101</v>
      </c>
      <c r="P77">
        <v>181.07835359999399</v>
      </c>
      <c r="Q77">
        <v>181.08815319999101</v>
      </c>
      <c r="R77">
        <v>182.07134070000001</v>
      </c>
      <c r="S77">
        <v>182.07134070000001</v>
      </c>
      <c r="T77">
        <v>182.08823769999401</v>
      </c>
      <c r="U77">
        <v>184.52232139999899</v>
      </c>
      <c r="V77" t="s">
        <v>39</v>
      </c>
      <c r="W77">
        <v>2.4346568999753799</v>
      </c>
      <c r="X77" t="s">
        <v>33</v>
      </c>
      <c r="Y77" t="s">
        <v>34</v>
      </c>
      <c r="Z77">
        <v>1</v>
      </c>
      <c r="AA77" t="s">
        <v>35</v>
      </c>
      <c r="AB77" t="s">
        <v>36</v>
      </c>
      <c r="AD77" t="s">
        <v>37</v>
      </c>
      <c r="AE77">
        <v>59.960701756987</v>
      </c>
      <c r="AF77" t="s">
        <v>38</v>
      </c>
    </row>
    <row r="78" spans="1:32" x14ac:dyDescent="0.3">
      <c r="A78">
        <v>78</v>
      </c>
      <c r="B78">
        <v>80</v>
      </c>
      <c r="C78">
        <v>162</v>
      </c>
      <c r="D78">
        <v>76</v>
      </c>
      <c r="E78">
        <v>6</v>
      </c>
      <c r="F78">
        <v>10</v>
      </c>
      <c r="G78" t="s">
        <v>32</v>
      </c>
      <c r="H78">
        <v>1.75776129998848</v>
      </c>
      <c r="I78" t="s">
        <v>33</v>
      </c>
      <c r="J78">
        <v>10</v>
      </c>
      <c r="K78">
        <v>6</v>
      </c>
      <c r="L78">
        <v>76</v>
      </c>
      <c r="M78">
        <v>6</v>
      </c>
      <c r="N78">
        <v>184.538189399987</v>
      </c>
      <c r="P78">
        <v>184.52920389998999</v>
      </c>
      <c r="Q78">
        <v>184.538189399987</v>
      </c>
      <c r="R78">
        <v>185.52144829998699</v>
      </c>
      <c r="S78">
        <v>185.52144829998699</v>
      </c>
      <c r="T78">
        <v>185.53805619999099</v>
      </c>
      <c r="U78">
        <v>187.28803180000901</v>
      </c>
      <c r="V78" t="s">
        <v>32</v>
      </c>
      <c r="W78">
        <v>1.75776129998848</v>
      </c>
      <c r="X78" t="s">
        <v>33</v>
      </c>
      <c r="Y78" t="s">
        <v>34</v>
      </c>
      <c r="Z78">
        <v>1</v>
      </c>
      <c r="AA78" t="s">
        <v>35</v>
      </c>
      <c r="AB78" t="s">
        <v>36</v>
      </c>
      <c r="AD78" t="s">
        <v>37</v>
      </c>
      <c r="AE78">
        <v>59.960701756987</v>
      </c>
      <c r="AF78" t="s">
        <v>38</v>
      </c>
    </row>
    <row r="79" spans="1:32" x14ac:dyDescent="0.3">
      <c r="A79">
        <v>40</v>
      </c>
      <c r="B79">
        <v>55</v>
      </c>
      <c r="C79">
        <v>62</v>
      </c>
      <c r="D79">
        <v>77</v>
      </c>
      <c r="E79">
        <v>0</v>
      </c>
      <c r="F79">
        <v>11</v>
      </c>
      <c r="G79" t="s">
        <v>32</v>
      </c>
      <c r="H79">
        <v>1.0598863000050101</v>
      </c>
      <c r="I79" t="s">
        <v>33</v>
      </c>
      <c r="J79">
        <v>11</v>
      </c>
      <c r="K79">
        <v>0</v>
      </c>
      <c r="L79">
        <v>77</v>
      </c>
      <c r="M79">
        <v>3</v>
      </c>
      <c r="N79">
        <v>187.30436139999</v>
      </c>
      <c r="P79">
        <v>187.291646900004</v>
      </c>
      <c r="Q79">
        <v>187.30436139999</v>
      </c>
      <c r="R79">
        <v>188.28853640001</v>
      </c>
      <c r="S79">
        <v>188.28853640001</v>
      </c>
      <c r="T79">
        <v>188.30488810001401</v>
      </c>
      <c r="U79">
        <v>189.35554829999401</v>
      </c>
      <c r="V79" t="s">
        <v>32</v>
      </c>
      <c r="W79">
        <v>1.0598863000050101</v>
      </c>
      <c r="X79" t="s">
        <v>33</v>
      </c>
      <c r="Y79" t="s">
        <v>34</v>
      </c>
      <c r="Z79">
        <v>1</v>
      </c>
      <c r="AA79" t="s">
        <v>35</v>
      </c>
      <c r="AB79" t="s">
        <v>36</v>
      </c>
      <c r="AD79" t="s">
        <v>37</v>
      </c>
      <c r="AE79">
        <v>59.960701756987</v>
      </c>
      <c r="AF79" t="s">
        <v>38</v>
      </c>
    </row>
    <row r="80" spans="1:32" x14ac:dyDescent="0.3">
      <c r="A80">
        <v>11</v>
      </c>
      <c r="B80">
        <v>30</v>
      </c>
      <c r="C80">
        <v>7</v>
      </c>
      <c r="D80">
        <v>78</v>
      </c>
      <c r="E80">
        <v>1</v>
      </c>
      <c r="F80">
        <v>11</v>
      </c>
      <c r="G80" t="s">
        <v>39</v>
      </c>
      <c r="H80">
        <v>1.78304910002043</v>
      </c>
      <c r="I80" t="s">
        <v>33</v>
      </c>
      <c r="J80">
        <v>11</v>
      </c>
      <c r="K80">
        <v>1</v>
      </c>
      <c r="L80">
        <v>78</v>
      </c>
      <c r="M80">
        <v>0</v>
      </c>
      <c r="N80">
        <v>189.37146709999001</v>
      </c>
      <c r="P80">
        <v>189.36228219998799</v>
      </c>
      <c r="Q80">
        <v>189.37146709999001</v>
      </c>
      <c r="R80">
        <v>190.371126699988</v>
      </c>
      <c r="S80">
        <v>190.371126699988</v>
      </c>
      <c r="T80">
        <v>190.371126699988</v>
      </c>
      <c r="U80">
        <v>192.15581369999501</v>
      </c>
      <c r="V80" t="s">
        <v>39</v>
      </c>
      <c r="W80">
        <v>1.78304910002043</v>
      </c>
      <c r="X80" t="s">
        <v>33</v>
      </c>
      <c r="Y80" t="s">
        <v>34</v>
      </c>
      <c r="Z80">
        <v>1</v>
      </c>
      <c r="AA80" t="s">
        <v>35</v>
      </c>
      <c r="AB80" t="s">
        <v>36</v>
      </c>
      <c r="AD80" t="s">
        <v>37</v>
      </c>
      <c r="AE80">
        <v>59.960701756987</v>
      </c>
      <c r="AF80" t="s">
        <v>38</v>
      </c>
    </row>
    <row r="81" spans="1:32" x14ac:dyDescent="0.3">
      <c r="A81">
        <v>49</v>
      </c>
      <c r="B81">
        <v>60</v>
      </c>
      <c r="C81">
        <v>89</v>
      </c>
      <c r="D81">
        <v>79</v>
      </c>
      <c r="E81">
        <v>2</v>
      </c>
      <c r="F81">
        <v>11</v>
      </c>
      <c r="G81" t="s">
        <v>32</v>
      </c>
      <c r="H81">
        <v>2.36390899997786</v>
      </c>
      <c r="I81" t="s">
        <v>33</v>
      </c>
      <c r="J81">
        <v>11</v>
      </c>
      <c r="K81">
        <v>2</v>
      </c>
      <c r="L81">
        <v>79</v>
      </c>
      <c r="M81">
        <v>4</v>
      </c>
      <c r="N81">
        <v>192.17118659999599</v>
      </c>
      <c r="P81">
        <v>192.16181859999699</v>
      </c>
      <c r="Q81">
        <v>192.17118659999599</v>
      </c>
      <c r="R81">
        <v>193.17149710000299</v>
      </c>
      <c r="S81">
        <v>193.17149710000299</v>
      </c>
      <c r="T81">
        <v>193.17149710000299</v>
      </c>
      <c r="U81">
        <v>195.53877889999401</v>
      </c>
      <c r="V81" t="s">
        <v>32</v>
      </c>
      <c r="W81">
        <v>2.36390899997786</v>
      </c>
      <c r="X81" t="s">
        <v>33</v>
      </c>
      <c r="Y81" t="s">
        <v>34</v>
      </c>
      <c r="Z81">
        <v>1</v>
      </c>
      <c r="AA81" t="s">
        <v>35</v>
      </c>
      <c r="AB81" t="s">
        <v>36</v>
      </c>
      <c r="AD81" t="s">
        <v>37</v>
      </c>
      <c r="AE81">
        <v>59.960701756987</v>
      </c>
      <c r="AF81" t="s">
        <v>38</v>
      </c>
    </row>
    <row r="82" spans="1:32" x14ac:dyDescent="0.3">
      <c r="A82">
        <v>67</v>
      </c>
      <c r="B82">
        <v>75</v>
      </c>
      <c r="C82">
        <v>119</v>
      </c>
      <c r="D82">
        <v>80</v>
      </c>
      <c r="E82">
        <v>3</v>
      </c>
      <c r="F82">
        <v>11</v>
      </c>
      <c r="G82" t="s">
        <v>32</v>
      </c>
      <c r="H82">
        <v>1.30305430002044</v>
      </c>
      <c r="I82" t="s">
        <v>33</v>
      </c>
      <c r="J82">
        <v>11</v>
      </c>
      <c r="K82">
        <v>3</v>
      </c>
      <c r="L82">
        <v>80</v>
      </c>
      <c r="M82">
        <v>5</v>
      </c>
      <c r="N82">
        <v>195.55466819999799</v>
      </c>
      <c r="P82">
        <v>195.54539320000899</v>
      </c>
      <c r="Q82">
        <v>195.55466819999799</v>
      </c>
      <c r="R82">
        <v>196.538222300005</v>
      </c>
      <c r="S82">
        <v>196.538222300005</v>
      </c>
      <c r="T82">
        <v>196.55476440000299</v>
      </c>
      <c r="U82">
        <v>197.85576020000701</v>
      </c>
      <c r="V82" t="s">
        <v>32</v>
      </c>
      <c r="W82">
        <v>1.30305430002044</v>
      </c>
      <c r="X82" t="s">
        <v>33</v>
      </c>
      <c r="Y82" t="s">
        <v>34</v>
      </c>
      <c r="Z82">
        <v>1</v>
      </c>
      <c r="AA82" t="s">
        <v>35</v>
      </c>
      <c r="AB82" t="s">
        <v>36</v>
      </c>
      <c r="AD82" t="s">
        <v>37</v>
      </c>
      <c r="AE82">
        <v>59.960701756987</v>
      </c>
      <c r="AF82" t="s">
        <v>38</v>
      </c>
    </row>
    <row r="83" spans="1:32" x14ac:dyDescent="0.3">
      <c r="A83">
        <v>15</v>
      </c>
      <c r="B83">
        <v>35</v>
      </c>
      <c r="C83">
        <v>13</v>
      </c>
      <c r="D83">
        <v>81</v>
      </c>
      <c r="E83">
        <v>4</v>
      </c>
      <c r="F83">
        <v>11</v>
      </c>
      <c r="G83" t="s">
        <v>39</v>
      </c>
      <c r="H83">
        <v>2.1865813999902399</v>
      </c>
      <c r="I83" t="s">
        <v>33</v>
      </c>
      <c r="J83">
        <v>11</v>
      </c>
      <c r="K83">
        <v>4</v>
      </c>
      <c r="L83">
        <v>81</v>
      </c>
      <c r="M83">
        <v>1</v>
      </c>
      <c r="N83">
        <v>197.87130460000401</v>
      </c>
      <c r="P83">
        <v>197.86209670000201</v>
      </c>
      <c r="Q83">
        <v>197.87130460000401</v>
      </c>
      <c r="R83">
        <v>198.87141429999599</v>
      </c>
      <c r="S83">
        <v>198.87141429999599</v>
      </c>
      <c r="T83">
        <v>198.87141429999599</v>
      </c>
      <c r="U83">
        <v>201.07191279999</v>
      </c>
      <c r="V83" t="s">
        <v>39</v>
      </c>
      <c r="W83">
        <v>2.1865813999902399</v>
      </c>
      <c r="X83" t="s">
        <v>33</v>
      </c>
      <c r="Y83" t="s">
        <v>34</v>
      </c>
      <c r="Z83">
        <v>1</v>
      </c>
      <c r="AA83" t="s">
        <v>35</v>
      </c>
      <c r="AB83" t="s">
        <v>36</v>
      </c>
      <c r="AD83" t="s">
        <v>37</v>
      </c>
      <c r="AE83">
        <v>59.960701756987</v>
      </c>
      <c r="AF83" t="s">
        <v>38</v>
      </c>
    </row>
    <row r="84" spans="1:32" x14ac:dyDescent="0.3">
      <c r="A84">
        <v>27</v>
      </c>
      <c r="B84">
        <v>50</v>
      </c>
      <c r="C84">
        <v>21</v>
      </c>
      <c r="D84">
        <v>82</v>
      </c>
      <c r="E84">
        <v>5</v>
      </c>
      <c r="F84">
        <v>11</v>
      </c>
      <c r="G84" t="s">
        <v>39</v>
      </c>
      <c r="H84">
        <v>0.76312200000393204</v>
      </c>
      <c r="I84" t="s">
        <v>33</v>
      </c>
      <c r="J84">
        <v>11</v>
      </c>
      <c r="K84">
        <v>5</v>
      </c>
      <c r="L84">
        <v>82</v>
      </c>
      <c r="M84">
        <v>2</v>
      </c>
      <c r="N84">
        <v>201.08796689999801</v>
      </c>
      <c r="P84">
        <v>201.07805770001099</v>
      </c>
      <c r="Q84">
        <v>201.08796689999801</v>
      </c>
      <c r="R84">
        <v>202.071433500008</v>
      </c>
      <c r="S84">
        <v>202.071433500008</v>
      </c>
      <c r="T84">
        <v>202.08820289999099</v>
      </c>
      <c r="U84">
        <v>202.83849260001401</v>
      </c>
      <c r="V84" t="s">
        <v>39</v>
      </c>
      <c r="W84">
        <v>0.76312200000393204</v>
      </c>
      <c r="X84" t="s">
        <v>33</v>
      </c>
      <c r="Y84" t="s">
        <v>34</v>
      </c>
      <c r="Z84">
        <v>1</v>
      </c>
      <c r="AA84" t="s">
        <v>35</v>
      </c>
      <c r="AB84" t="s">
        <v>36</v>
      </c>
      <c r="AD84" t="s">
        <v>37</v>
      </c>
      <c r="AE84">
        <v>59.960701756987</v>
      </c>
      <c r="AF84" t="s">
        <v>38</v>
      </c>
    </row>
    <row r="85" spans="1:32" x14ac:dyDescent="0.3">
      <c r="A85">
        <v>78</v>
      </c>
      <c r="B85">
        <v>80</v>
      </c>
      <c r="C85">
        <v>162</v>
      </c>
      <c r="D85">
        <v>83</v>
      </c>
      <c r="E85">
        <v>6</v>
      </c>
      <c r="F85">
        <v>11</v>
      </c>
      <c r="G85" t="s">
        <v>39</v>
      </c>
      <c r="H85">
        <v>1.30955030000768</v>
      </c>
      <c r="I85" t="s">
        <v>33</v>
      </c>
      <c r="J85">
        <v>11</v>
      </c>
      <c r="K85">
        <v>6</v>
      </c>
      <c r="L85">
        <v>83</v>
      </c>
      <c r="M85">
        <v>6</v>
      </c>
      <c r="N85">
        <v>202.854668799991</v>
      </c>
      <c r="P85">
        <v>202.844593999994</v>
      </c>
      <c r="Q85">
        <v>202.854668799991</v>
      </c>
      <c r="R85">
        <v>203.837983400007</v>
      </c>
      <c r="S85">
        <v>203.837983400007</v>
      </c>
      <c r="T85">
        <v>203.85460180000501</v>
      </c>
      <c r="U85">
        <v>205.155611499998</v>
      </c>
      <c r="V85" t="s">
        <v>39</v>
      </c>
      <c r="W85">
        <v>1.30955030000768</v>
      </c>
      <c r="X85" t="s">
        <v>33</v>
      </c>
      <c r="Y85" t="s">
        <v>34</v>
      </c>
      <c r="Z85">
        <v>1</v>
      </c>
      <c r="AA85" t="s">
        <v>35</v>
      </c>
      <c r="AB85" t="s">
        <v>36</v>
      </c>
      <c r="AD85" t="s">
        <v>37</v>
      </c>
      <c r="AE85">
        <v>59.960701756987</v>
      </c>
      <c r="AF85" t="s">
        <v>38</v>
      </c>
    </row>
    <row r="86" spans="1:32" x14ac:dyDescent="0.3">
      <c r="A86">
        <v>27</v>
      </c>
      <c r="B86">
        <v>50</v>
      </c>
      <c r="C86">
        <v>21</v>
      </c>
      <c r="D86">
        <v>84</v>
      </c>
      <c r="E86">
        <v>0</v>
      </c>
      <c r="F86">
        <v>12</v>
      </c>
      <c r="G86" t="s">
        <v>32</v>
      </c>
      <c r="H86">
        <v>0.63801110000349504</v>
      </c>
      <c r="I86" t="s">
        <v>33</v>
      </c>
      <c r="J86">
        <v>12</v>
      </c>
      <c r="K86">
        <v>0</v>
      </c>
      <c r="L86">
        <v>84</v>
      </c>
      <c r="M86">
        <v>2</v>
      </c>
      <c r="N86">
        <v>205.17135940000199</v>
      </c>
      <c r="P86">
        <v>205.16220429999501</v>
      </c>
      <c r="Q86">
        <v>205.17135940000199</v>
      </c>
      <c r="R86">
        <v>206.15485859999899</v>
      </c>
      <c r="S86">
        <v>206.15485859999899</v>
      </c>
      <c r="T86">
        <v>206.17117240000499</v>
      </c>
      <c r="U86">
        <v>206.805606500012</v>
      </c>
      <c r="V86" t="s">
        <v>32</v>
      </c>
      <c r="W86">
        <v>0.63801110000349504</v>
      </c>
      <c r="X86" t="s">
        <v>33</v>
      </c>
      <c r="Y86" t="s">
        <v>34</v>
      </c>
      <c r="Z86">
        <v>1</v>
      </c>
      <c r="AA86" t="s">
        <v>35</v>
      </c>
      <c r="AB86" t="s">
        <v>36</v>
      </c>
      <c r="AD86" t="s">
        <v>37</v>
      </c>
      <c r="AE86">
        <v>59.960701756987</v>
      </c>
      <c r="AF86" t="s">
        <v>38</v>
      </c>
    </row>
    <row r="87" spans="1:32" x14ac:dyDescent="0.3">
      <c r="A87">
        <v>49</v>
      </c>
      <c r="B87">
        <v>60</v>
      </c>
      <c r="C87">
        <v>89</v>
      </c>
      <c r="D87">
        <v>85</v>
      </c>
      <c r="E87">
        <v>1</v>
      </c>
      <c r="F87">
        <v>12</v>
      </c>
      <c r="G87" t="s">
        <v>32</v>
      </c>
      <c r="H87">
        <v>0.38020760001381798</v>
      </c>
      <c r="I87" t="s">
        <v>33</v>
      </c>
      <c r="J87">
        <v>12</v>
      </c>
      <c r="K87">
        <v>1</v>
      </c>
      <c r="L87">
        <v>85</v>
      </c>
      <c r="M87">
        <v>4</v>
      </c>
      <c r="N87">
        <v>206.82085869999699</v>
      </c>
      <c r="P87">
        <v>206.81177279999201</v>
      </c>
      <c r="Q87">
        <v>206.82085869999699</v>
      </c>
      <c r="R87">
        <v>207.80472529999599</v>
      </c>
      <c r="S87">
        <v>207.80472529999599</v>
      </c>
      <c r="T87">
        <v>207.82144180001299</v>
      </c>
      <c r="U87">
        <v>208.189136800006</v>
      </c>
      <c r="V87" t="s">
        <v>32</v>
      </c>
      <c r="W87">
        <v>0.38020760001381798</v>
      </c>
      <c r="X87" t="s">
        <v>33</v>
      </c>
      <c r="Y87" t="s">
        <v>34</v>
      </c>
      <c r="Z87">
        <v>1</v>
      </c>
      <c r="AA87" t="s">
        <v>35</v>
      </c>
      <c r="AB87" t="s">
        <v>36</v>
      </c>
      <c r="AD87" t="s">
        <v>37</v>
      </c>
      <c r="AE87">
        <v>59.960701756987</v>
      </c>
      <c r="AF87" t="s">
        <v>38</v>
      </c>
    </row>
    <row r="88" spans="1:32" x14ac:dyDescent="0.3">
      <c r="A88">
        <v>67</v>
      </c>
      <c r="B88">
        <v>75</v>
      </c>
      <c r="C88">
        <v>119</v>
      </c>
      <c r="D88">
        <v>86</v>
      </c>
      <c r="E88">
        <v>2</v>
      </c>
      <c r="F88">
        <v>12</v>
      </c>
      <c r="G88" t="s">
        <v>32</v>
      </c>
      <c r="H88">
        <v>0.56337200000416399</v>
      </c>
      <c r="I88" t="s">
        <v>33</v>
      </c>
      <c r="J88">
        <v>12</v>
      </c>
      <c r="K88">
        <v>2</v>
      </c>
      <c r="L88">
        <v>86</v>
      </c>
      <c r="M88">
        <v>5</v>
      </c>
      <c r="N88">
        <v>208.20468070000001</v>
      </c>
      <c r="P88">
        <v>208.196113200014</v>
      </c>
      <c r="Q88">
        <v>208.20468070000001</v>
      </c>
      <c r="R88">
        <v>209.20485650000001</v>
      </c>
      <c r="S88">
        <v>209.20485650000001</v>
      </c>
      <c r="T88">
        <v>209.20485650000001</v>
      </c>
      <c r="U88">
        <v>209.771864300011</v>
      </c>
      <c r="V88" t="s">
        <v>32</v>
      </c>
      <c r="W88">
        <v>0.56337200000416399</v>
      </c>
      <c r="X88" t="s">
        <v>33</v>
      </c>
      <c r="Y88" t="s">
        <v>34</v>
      </c>
      <c r="Z88">
        <v>1</v>
      </c>
      <c r="AA88" t="s">
        <v>35</v>
      </c>
      <c r="AB88" t="s">
        <v>36</v>
      </c>
      <c r="AD88" t="s">
        <v>37</v>
      </c>
      <c r="AE88">
        <v>59.960701756987</v>
      </c>
      <c r="AF88" t="s">
        <v>38</v>
      </c>
    </row>
    <row r="89" spans="1:32" x14ac:dyDescent="0.3">
      <c r="A89">
        <v>40</v>
      </c>
      <c r="B89">
        <v>55</v>
      </c>
      <c r="C89">
        <v>62</v>
      </c>
      <c r="D89">
        <v>87</v>
      </c>
      <c r="E89">
        <v>3</v>
      </c>
      <c r="F89">
        <v>12</v>
      </c>
      <c r="G89" t="s">
        <v>32</v>
      </c>
      <c r="H89">
        <v>0.57171899999957498</v>
      </c>
      <c r="I89" t="s">
        <v>33</v>
      </c>
      <c r="J89">
        <v>12</v>
      </c>
      <c r="K89">
        <v>3</v>
      </c>
      <c r="L89">
        <v>87</v>
      </c>
      <c r="M89">
        <v>3</v>
      </c>
      <c r="N89">
        <v>209.78805360000101</v>
      </c>
      <c r="P89">
        <v>209.77845290000499</v>
      </c>
      <c r="Q89">
        <v>209.78805360000101</v>
      </c>
      <c r="R89">
        <v>210.771709599997</v>
      </c>
      <c r="S89">
        <v>210.771709599997</v>
      </c>
      <c r="T89">
        <v>210.788184100005</v>
      </c>
      <c r="U89">
        <v>211.35548259998899</v>
      </c>
      <c r="V89" t="s">
        <v>32</v>
      </c>
      <c r="W89">
        <v>0.57171899999957498</v>
      </c>
      <c r="X89" t="s">
        <v>33</v>
      </c>
      <c r="Y89" t="s">
        <v>34</v>
      </c>
      <c r="Z89">
        <v>1</v>
      </c>
      <c r="AA89" t="s">
        <v>35</v>
      </c>
      <c r="AB89" t="s">
        <v>36</v>
      </c>
      <c r="AD89" t="s">
        <v>37</v>
      </c>
      <c r="AE89">
        <v>59.960701756987</v>
      </c>
      <c r="AF89" t="s">
        <v>38</v>
      </c>
    </row>
    <row r="90" spans="1:32" x14ac:dyDescent="0.3">
      <c r="A90">
        <v>78</v>
      </c>
      <c r="B90">
        <v>80</v>
      </c>
      <c r="C90">
        <v>162</v>
      </c>
      <c r="D90">
        <v>88</v>
      </c>
      <c r="E90">
        <v>4</v>
      </c>
      <c r="F90">
        <v>12</v>
      </c>
      <c r="G90" t="s">
        <v>32</v>
      </c>
      <c r="H90">
        <v>0.84715990000404395</v>
      </c>
      <c r="I90" t="s">
        <v>33</v>
      </c>
      <c r="J90">
        <v>12</v>
      </c>
      <c r="K90">
        <v>4</v>
      </c>
      <c r="L90">
        <v>88</v>
      </c>
      <c r="M90">
        <v>6</v>
      </c>
      <c r="N90">
        <v>211.37126990000201</v>
      </c>
      <c r="P90">
        <v>211.36269430001201</v>
      </c>
      <c r="Q90">
        <v>211.37126990000201</v>
      </c>
      <c r="R90">
        <v>212.354815400001</v>
      </c>
      <c r="S90">
        <v>212.354815400001</v>
      </c>
      <c r="T90">
        <v>212.37114740000101</v>
      </c>
      <c r="U90">
        <v>213.205235400004</v>
      </c>
      <c r="V90" t="s">
        <v>32</v>
      </c>
      <c r="W90">
        <v>0.84715990000404395</v>
      </c>
      <c r="X90" t="s">
        <v>33</v>
      </c>
      <c r="Y90" t="s">
        <v>34</v>
      </c>
      <c r="Z90">
        <v>1</v>
      </c>
      <c r="AA90" t="s">
        <v>35</v>
      </c>
      <c r="AB90" t="s">
        <v>36</v>
      </c>
      <c r="AD90" t="s">
        <v>37</v>
      </c>
      <c r="AE90">
        <v>59.960701756987</v>
      </c>
      <c r="AF90" t="s">
        <v>38</v>
      </c>
    </row>
    <row r="91" spans="1:32" x14ac:dyDescent="0.3">
      <c r="A91">
        <v>15</v>
      </c>
      <c r="B91">
        <v>35</v>
      </c>
      <c r="C91">
        <v>13</v>
      </c>
      <c r="D91">
        <v>89</v>
      </c>
      <c r="E91">
        <v>5</v>
      </c>
      <c r="F91">
        <v>12</v>
      </c>
      <c r="G91" t="s">
        <v>32</v>
      </c>
      <c r="H91">
        <v>0.65157539999927305</v>
      </c>
      <c r="I91" t="s">
        <v>33</v>
      </c>
      <c r="J91">
        <v>12</v>
      </c>
      <c r="K91">
        <v>5</v>
      </c>
      <c r="L91">
        <v>89</v>
      </c>
      <c r="M91">
        <v>1</v>
      </c>
      <c r="N91">
        <v>213.22148249999699</v>
      </c>
      <c r="P91">
        <v>213.21035979999499</v>
      </c>
      <c r="Q91">
        <v>213.22148249999699</v>
      </c>
      <c r="R91">
        <v>214.20519909998899</v>
      </c>
      <c r="S91">
        <v>214.20519909998899</v>
      </c>
      <c r="T91">
        <v>214.22121859999601</v>
      </c>
      <c r="U91">
        <v>214.87210680000101</v>
      </c>
      <c r="V91" t="s">
        <v>32</v>
      </c>
      <c r="W91">
        <v>0.65157539999927305</v>
      </c>
      <c r="X91" t="s">
        <v>33</v>
      </c>
      <c r="Y91" t="s">
        <v>34</v>
      </c>
      <c r="Z91">
        <v>1</v>
      </c>
      <c r="AA91" t="s">
        <v>35</v>
      </c>
      <c r="AB91" t="s">
        <v>36</v>
      </c>
      <c r="AD91" t="s">
        <v>37</v>
      </c>
      <c r="AE91">
        <v>59.960701756987</v>
      </c>
      <c r="AF91" t="s">
        <v>38</v>
      </c>
    </row>
    <row r="92" spans="1:32" x14ac:dyDescent="0.3">
      <c r="A92">
        <v>11</v>
      </c>
      <c r="B92">
        <v>30</v>
      </c>
      <c r="C92">
        <v>7</v>
      </c>
      <c r="D92">
        <v>90</v>
      </c>
      <c r="E92">
        <v>6</v>
      </c>
      <c r="F92">
        <v>12</v>
      </c>
      <c r="G92" t="s">
        <v>39</v>
      </c>
      <c r="H92">
        <v>0.92635989998234403</v>
      </c>
      <c r="I92" t="s">
        <v>33</v>
      </c>
      <c r="J92">
        <v>12</v>
      </c>
      <c r="K92">
        <v>6</v>
      </c>
      <c r="L92">
        <v>90</v>
      </c>
      <c r="M92">
        <v>0</v>
      </c>
      <c r="N92">
        <v>214.887986799993</v>
      </c>
      <c r="P92">
        <v>214.879357099998</v>
      </c>
      <c r="Q92">
        <v>214.887986799993</v>
      </c>
      <c r="R92">
        <v>215.871346200001</v>
      </c>
      <c r="S92">
        <v>215.871346200001</v>
      </c>
      <c r="T92">
        <v>215.88781899999501</v>
      </c>
      <c r="U92">
        <v>216.805624500004</v>
      </c>
      <c r="V92" t="s">
        <v>39</v>
      </c>
      <c r="W92">
        <v>0.92635989998234403</v>
      </c>
      <c r="X92" t="s">
        <v>33</v>
      </c>
      <c r="Y92" t="s">
        <v>34</v>
      </c>
      <c r="Z92">
        <v>1</v>
      </c>
      <c r="AA92" t="s">
        <v>35</v>
      </c>
      <c r="AB92" t="s">
        <v>36</v>
      </c>
      <c r="AD92" t="s">
        <v>37</v>
      </c>
      <c r="AE92">
        <v>59.960701756987</v>
      </c>
      <c r="AF92" t="s">
        <v>38</v>
      </c>
    </row>
    <row r="93" spans="1:32" x14ac:dyDescent="0.3">
      <c r="A93">
        <v>40</v>
      </c>
      <c r="B93">
        <v>55</v>
      </c>
      <c r="C93">
        <v>62</v>
      </c>
      <c r="D93">
        <v>91</v>
      </c>
      <c r="E93">
        <v>0</v>
      </c>
      <c r="F93">
        <v>13</v>
      </c>
      <c r="G93" t="s">
        <v>32</v>
      </c>
      <c r="H93">
        <v>1.0536044999898799</v>
      </c>
      <c r="I93" t="s">
        <v>33</v>
      </c>
      <c r="J93">
        <v>13</v>
      </c>
      <c r="K93">
        <v>0</v>
      </c>
      <c r="L93">
        <v>91</v>
      </c>
      <c r="M93">
        <v>3</v>
      </c>
      <c r="N93">
        <v>216.82159090001301</v>
      </c>
      <c r="P93">
        <v>216.81244830001299</v>
      </c>
      <c r="Q93">
        <v>216.82159090001301</v>
      </c>
      <c r="R93">
        <v>217.82084249998999</v>
      </c>
      <c r="S93">
        <v>217.82084249998999</v>
      </c>
      <c r="T93">
        <v>217.82084249998999</v>
      </c>
      <c r="U93">
        <v>218.88907050000799</v>
      </c>
      <c r="V93" t="s">
        <v>32</v>
      </c>
      <c r="W93">
        <v>1.0536044999898799</v>
      </c>
      <c r="X93" t="s">
        <v>33</v>
      </c>
      <c r="Y93" t="s">
        <v>34</v>
      </c>
      <c r="Z93">
        <v>1</v>
      </c>
      <c r="AA93" t="s">
        <v>35</v>
      </c>
      <c r="AB93" t="s">
        <v>36</v>
      </c>
      <c r="AD93" t="s">
        <v>37</v>
      </c>
      <c r="AE93">
        <v>59.960701756987</v>
      </c>
      <c r="AF93" t="s">
        <v>38</v>
      </c>
    </row>
    <row r="94" spans="1:32" x14ac:dyDescent="0.3">
      <c r="A94">
        <v>78</v>
      </c>
      <c r="B94">
        <v>80</v>
      </c>
      <c r="C94">
        <v>162</v>
      </c>
      <c r="D94">
        <v>92</v>
      </c>
      <c r="E94">
        <v>1</v>
      </c>
      <c r="F94">
        <v>13</v>
      </c>
      <c r="G94" t="s">
        <v>32</v>
      </c>
      <c r="H94">
        <v>0.36968209999031298</v>
      </c>
      <c r="I94" t="s">
        <v>33</v>
      </c>
      <c r="J94">
        <v>13</v>
      </c>
      <c r="K94">
        <v>1</v>
      </c>
      <c r="L94">
        <v>92</v>
      </c>
      <c r="M94">
        <v>6</v>
      </c>
      <c r="N94">
        <v>218.90469049999899</v>
      </c>
      <c r="P94">
        <v>218.89700639998699</v>
      </c>
      <c r="Q94">
        <v>218.90469049999899</v>
      </c>
      <c r="R94">
        <v>219.90460370000801</v>
      </c>
      <c r="S94">
        <v>219.90460370000801</v>
      </c>
      <c r="T94">
        <v>219.90460370000801</v>
      </c>
      <c r="U94">
        <v>220.28898209999801</v>
      </c>
      <c r="V94" t="s">
        <v>32</v>
      </c>
      <c r="W94">
        <v>0.36968209999031298</v>
      </c>
      <c r="X94" t="s">
        <v>33</v>
      </c>
      <c r="Y94" t="s">
        <v>34</v>
      </c>
      <c r="Z94">
        <v>1</v>
      </c>
      <c r="AA94" t="s">
        <v>35</v>
      </c>
      <c r="AB94" t="s">
        <v>36</v>
      </c>
      <c r="AD94" t="s">
        <v>37</v>
      </c>
      <c r="AE94">
        <v>59.960701756987</v>
      </c>
      <c r="AF94" t="s">
        <v>38</v>
      </c>
    </row>
    <row r="95" spans="1:32" x14ac:dyDescent="0.3">
      <c r="A95">
        <v>15</v>
      </c>
      <c r="B95">
        <v>35</v>
      </c>
      <c r="C95">
        <v>13</v>
      </c>
      <c r="D95">
        <v>93</v>
      </c>
      <c r="E95">
        <v>2</v>
      </c>
      <c r="F95">
        <v>13</v>
      </c>
      <c r="G95" t="s">
        <v>39</v>
      </c>
      <c r="H95">
        <v>0.87362570001277995</v>
      </c>
      <c r="I95" t="s">
        <v>33</v>
      </c>
      <c r="J95">
        <v>13</v>
      </c>
      <c r="K95">
        <v>2</v>
      </c>
      <c r="L95">
        <v>93</v>
      </c>
      <c r="M95">
        <v>1</v>
      </c>
      <c r="N95">
        <v>220.304699300002</v>
      </c>
      <c r="P95">
        <v>220.29554699998599</v>
      </c>
      <c r="Q95">
        <v>220.304699300002</v>
      </c>
      <c r="R95">
        <v>221.304671299993</v>
      </c>
      <c r="S95">
        <v>221.304671299993</v>
      </c>
      <c r="T95">
        <v>221.304671299993</v>
      </c>
      <c r="U95">
        <v>222.188900000008</v>
      </c>
      <c r="V95" t="s">
        <v>39</v>
      </c>
      <c r="W95">
        <v>0.87362570001277995</v>
      </c>
      <c r="X95" t="s">
        <v>33</v>
      </c>
      <c r="Y95" t="s">
        <v>34</v>
      </c>
      <c r="Z95">
        <v>1</v>
      </c>
      <c r="AA95" t="s">
        <v>35</v>
      </c>
      <c r="AB95" t="s">
        <v>36</v>
      </c>
      <c r="AD95" t="s">
        <v>37</v>
      </c>
      <c r="AE95">
        <v>59.960701756987</v>
      </c>
      <c r="AF95" t="s">
        <v>38</v>
      </c>
    </row>
    <row r="96" spans="1:32" x14ac:dyDescent="0.3">
      <c r="A96">
        <v>27</v>
      </c>
      <c r="B96">
        <v>50</v>
      </c>
      <c r="C96">
        <v>21</v>
      </c>
      <c r="D96">
        <v>94</v>
      </c>
      <c r="E96">
        <v>3</v>
      </c>
      <c r="F96">
        <v>13</v>
      </c>
      <c r="G96" t="s">
        <v>32</v>
      </c>
      <c r="H96">
        <v>0.51554490000125897</v>
      </c>
      <c r="I96" t="s">
        <v>33</v>
      </c>
      <c r="J96">
        <v>13</v>
      </c>
      <c r="K96">
        <v>3</v>
      </c>
      <c r="L96">
        <v>94</v>
      </c>
      <c r="M96">
        <v>2</v>
      </c>
      <c r="N96">
        <v>222.20468090000199</v>
      </c>
      <c r="P96">
        <v>222.195835699996</v>
      </c>
      <c r="Q96">
        <v>222.20468090000199</v>
      </c>
      <c r="R96">
        <v>223.2050591</v>
      </c>
      <c r="S96">
        <v>223.2050591</v>
      </c>
      <c r="T96">
        <v>223.2050591</v>
      </c>
      <c r="U96">
        <v>223.722191800014</v>
      </c>
      <c r="V96" t="s">
        <v>32</v>
      </c>
      <c r="W96">
        <v>0.51554490000125897</v>
      </c>
      <c r="X96" t="s">
        <v>33</v>
      </c>
      <c r="Y96" t="s">
        <v>34</v>
      </c>
      <c r="Z96">
        <v>1</v>
      </c>
      <c r="AA96" t="s">
        <v>35</v>
      </c>
      <c r="AB96" t="s">
        <v>36</v>
      </c>
      <c r="AD96" t="s">
        <v>37</v>
      </c>
      <c r="AE96">
        <v>59.960701756987</v>
      </c>
      <c r="AF96" t="s">
        <v>38</v>
      </c>
    </row>
    <row r="97" spans="1:32" x14ac:dyDescent="0.3">
      <c r="A97">
        <v>67</v>
      </c>
      <c r="B97">
        <v>75</v>
      </c>
      <c r="C97">
        <v>119</v>
      </c>
      <c r="D97">
        <v>95</v>
      </c>
      <c r="E97">
        <v>4</v>
      </c>
      <c r="F97">
        <v>13</v>
      </c>
      <c r="G97" t="s">
        <v>32</v>
      </c>
      <c r="H97">
        <v>0.58255110000027299</v>
      </c>
      <c r="I97" t="s">
        <v>33</v>
      </c>
      <c r="J97">
        <v>13</v>
      </c>
      <c r="K97">
        <v>4</v>
      </c>
      <c r="L97">
        <v>95</v>
      </c>
      <c r="M97">
        <v>5</v>
      </c>
      <c r="N97">
        <v>223.73799250001301</v>
      </c>
      <c r="P97">
        <v>223.728980299987</v>
      </c>
      <c r="Q97">
        <v>223.73799250001301</v>
      </c>
      <c r="R97">
        <v>224.721321699995</v>
      </c>
      <c r="S97">
        <v>224.721321699995</v>
      </c>
      <c r="T97">
        <v>224.73798780000601</v>
      </c>
      <c r="U97">
        <v>225.30537740001401</v>
      </c>
      <c r="V97" t="s">
        <v>32</v>
      </c>
      <c r="W97">
        <v>0.58255110000027299</v>
      </c>
      <c r="X97" t="s">
        <v>33</v>
      </c>
      <c r="Y97" t="s">
        <v>34</v>
      </c>
      <c r="Z97">
        <v>1</v>
      </c>
      <c r="AA97" t="s">
        <v>35</v>
      </c>
      <c r="AB97" t="s">
        <v>36</v>
      </c>
      <c r="AD97" t="s">
        <v>37</v>
      </c>
      <c r="AE97">
        <v>59.960701756987</v>
      </c>
      <c r="AF97" t="s">
        <v>38</v>
      </c>
    </row>
    <row r="98" spans="1:32" x14ac:dyDescent="0.3">
      <c r="A98">
        <v>49</v>
      </c>
      <c r="B98">
        <v>60</v>
      </c>
      <c r="C98">
        <v>89</v>
      </c>
      <c r="D98">
        <v>96</v>
      </c>
      <c r="E98">
        <v>5</v>
      </c>
      <c r="F98">
        <v>13</v>
      </c>
      <c r="G98" t="s">
        <v>32</v>
      </c>
      <c r="H98">
        <v>0.54687980000744496</v>
      </c>
      <c r="I98" t="s">
        <v>33</v>
      </c>
      <c r="J98">
        <v>13</v>
      </c>
      <c r="K98">
        <v>5</v>
      </c>
      <c r="L98">
        <v>96</v>
      </c>
      <c r="M98">
        <v>4</v>
      </c>
      <c r="N98">
        <v>225.321239899989</v>
      </c>
      <c r="P98">
        <v>225.31243839999601</v>
      </c>
      <c r="Q98">
        <v>225.321239899989</v>
      </c>
      <c r="R98">
        <v>226.304829400003</v>
      </c>
      <c r="S98">
        <v>226.304829400003</v>
      </c>
      <c r="T98">
        <v>226.32143680000399</v>
      </c>
      <c r="U98">
        <v>226.85551079999999</v>
      </c>
      <c r="V98" t="s">
        <v>32</v>
      </c>
      <c r="W98">
        <v>0.54687980000744496</v>
      </c>
      <c r="X98" t="s">
        <v>33</v>
      </c>
      <c r="Y98" t="s">
        <v>34</v>
      </c>
      <c r="Z98">
        <v>1</v>
      </c>
      <c r="AA98" t="s">
        <v>35</v>
      </c>
      <c r="AB98" t="s">
        <v>36</v>
      </c>
      <c r="AD98" t="s">
        <v>37</v>
      </c>
      <c r="AE98">
        <v>59.960701756987</v>
      </c>
      <c r="AF98" t="s">
        <v>38</v>
      </c>
    </row>
    <row r="99" spans="1:32" x14ac:dyDescent="0.3">
      <c r="A99">
        <v>11</v>
      </c>
      <c r="B99">
        <v>30</v>
      </c>
      <c r="C99">
        <v>7</v>
      </c>
      <c r="D99">
        <v>97</v>
      </c>
      <c r="E99">
        <v>6</v>
      </c>
      <c r="F99">
        <v>13</v>
      </c>
      <c r="G99" t="s">
        <v>39</v>
      </c>
      <c r="H99">
        <v>0.675194200011901</v>
      </c>
      <c r="I99" t="s">
        <v>33</v>
      </c>
      <c r="J99">
        <v>13</v>
      </c>
      <c r="K99">
        <v>6</v>
      </c>
      <c r="L99">
        <v>97</v>
      </c>
      <c r="M99">
        <v>0</v>
      </c>
      <c r="N99">
        <v>226.871380600001</v>
      </c>
      <c r="P99">
        <v>226.86184359999601</v>
      </c>
      <c r="Q99">
        <v>226.871380600001</v>
      </c>
      <c r="R99">
        <v>227.85480709999601</v>
      </c>
      <c r="S99">
        <v>227.85480709999601</v>
      </c>
      <c r="T99">
        <v>227.87135490000901</v>
      </c>
      <c r="U99">
        <v>228.53890640000401</v>
      </c>
      <c r="V99" t="s">
        <v>39</v>
      </c>
      <c r="W99">
        <v>0.675194200011901</v>
      </c>
      <c r="X99" t="s">
        <v>33</v>
      </c>
      <c r="Y99" t="s">
        <v>34</v>
      </c>
      <c r="Z99">
        <v>1</v>
      </c>
      <c r="AA99" t="s">
        <v>35</v>
      </c>
      <c r="AB99" t="s">
        <v>36</v>
      </c>
      <c r="AD99" t="s">
        <v>37</v>
      </c>
      <c r="AE99">
        <v>59.960701756987</v>
      </c>
      <c r="AF99" t="s">
        <v>38</v>
      </c>
    </row>
    <row r="100" spans="1:32" x14ac:dyDescent="0.3">
      <c r="A100">
        <v>15</v>
      </c>
      <c r="B100">
        <v>35</v>
      </c>
      <c r="C100">
        <v>13</v>
      </c>
      <c r="D100">
        <v>98</v>
      </c>
      <c r="E100">
        <v>0</v>
      </c>
      <c r="F100">
        <v>14</v>
      </c>
      <c r="G100" t="s">
        <v>39</v>
      </c>
      <c r="H100">
        <v>1.6470315000042299</v>
      </c>
      <c r="I100" t="s">
        <v>33</v>
      </c>
      <c r="J100">
        <v>14</v>
      </c>
      <c r="K100">
        <v>0</v>
      </c>
      <c r="L100">
        <v>98</v>
      </c>
      <c r="M100">
        <v>1</v>
      </c>
      <c r="N100">
        <v>228.55479799999699</v>
      </c>
      <c r="P100">
        <v>228.54583099999499</v>
      </c>
      <c r="Q100">
        <v>228.55479799999699</v>
      </c>
      <c r="R100">
        <v>229.55474449999701</v>
      </c>
      <c r="S100">
        <v>229.55474449999701</v>
      </c>
      <c r="T100">
        <v>229.55474449999701</v>
      </c>
      <c r="U100">
        <v>231.205273700004</v>
      </c>
      <c r="V100" t="s">
        <v>39</v>
      </c>
      <c r="W100">
        <v>1.6470315000042299</v>
      </c>
      <c r="X100" t="s">
        <v>33</v>
      </c>
      <c r="Y100" t="s">
        <v>34</v>
      </c>
      <c r="Z100">
        <v>1</v>
      </c>
      <c r="AA100" t="s">
        <v>35</v>
      </c>
      <c r="AB100" t="s">
        <v>36</v>
      </c>
      <c r="AD100" t="s">
        <v>37</v>
      </c>
      <c r="AE100">
        <v>59.960701756987</v>
      </c>
      <c r="AF100" t="s">
        <v>38</v>
      </c>
    </row>
    <row r="101" spans="1:32" x14ac:dyDescent="0.3">
      <c r="A101">
        <v>11</v>
      </c>
      <c r="B101">
        <v>30</v>
      </c>
      <c r="C101">
        <v>7</v>
      </c>
      <c r="D101">
        <v>99</v>
      </c>
      <c r="E101">
        <v>1</v>
      </c>
      <c r="F101">
        <v>14</v>
      </c>
      <c r="G101" t="s">
        <v>39</v>
      </c>
      <c r="H101">
        <v>1.6289479999977601</v>
      </c>
      <c r="I101" t="s">
        <v>33</v>
      </c>
      <c r="J101">
        <v>14</v>
      </c>
      <c r="K101">
        <v>1</v>
      </c>
      <c r="L101">
        <v>99</v>
      </c>
      <c r="M101">
        <v>0</v>
      </c>
      <c r="N101">
        <v>231.221274500014</v>
      </c>
      <c r="P101">
        <v>231.21199440001499</v>
      </c>
      <c r="Q101">
        <v>231.221274500014</v>
      </c>
      <c r="R101">
        <v>232.20464949999501</v>
      </c>
      <c r="S101">
        <v>232.20464949999501</v>
      </c>
      <c r="T101">
        <v>232.22133629999001</v>
      </c>
      <c r="U101">
        <v>233.83828279998801</v>
      </c>
      <c r="V101" t="s">
        <v>39</v>
      </c>
      <c r="W101">
        <v>1.6289479999977601</v>
      </c>
      <c r="X101" t="s">
        <v>33</v>
      </c>
      <c r="Y101" t="s">
        <v>34</v>
      </c>
      <c r="Z101">
        <v>1</v>
      </c>
      <c r="AA101" t="s">
        <v>35</v>
      </c>
      <c r="AB101" t="s">
        <v>36</v>
      </c>
      <c r="AD101" t="s">
        <v>37</v>
      </c>
      <c r="AE101">
        <v>59.960701756987</v>
      </c>
      <c r="AF10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A38F-2B0C-4F44-8F57-131C4E1FD6BA}">
  <dimension ref="A1:H101"/>
  <sheetViews>
    <sheetView tabSelected="1" workbookViewId="0">
      <selection activeCell="H2" sqref="H2"/>
    </sheetView>
  </sheetViews>
  <sheetFormatPr defaultRowHeight="14.4" x14ac:dyDescent="0.3"/>
  <cols>
    <col min="4" max="4" width="12.5546875" customWidth="1"/>
    <col min="8" max="8" width="11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6</v>
      </c>
      <c r="E1" t="s">
        <v>40</v>
      </c>
      <c r="H1" t="s">
        <v>41</v>
      </c>
    </row>
    <row r="2" spans="1:8" x14ac:dyDescent="0.3">
      <c r="A2">
        <v>78</v>
      </c>
      <c r="B2">
        <v>80</v>
      </c>
      <c r="C2">
        <v>162</v>
      </c>
      <c r="D2" t="s">
        <v>32</v>
      </c>
      <c r="E2">
        <f>((B2-A2)-1)/C2</f>
        <v>6.1728395061728392E-3</v>
      </c>
      <c r="H2">
        <f>AVERAGE(F4,F13,F19,F21,F25,F32,F36,F44,F47,F50,F55,F60,F63,F66,F70,F74,F76,F79,F82,F91,F94,F98)</f>
        <v>0.72358453184448213</v>
      </c>
    </row>
    <row r="3" spans="1:8" x14ac:dyDescent="0.3">
      <c r="A3">
        <v>49</v>
      </c>
      <c r="B3">
        <v>60</v>
      </c>
      <c r="C3">
        <v>89</v>
      </c>
      <c r="D3" t="s">
        <v>32</v>
      </c>
      <c r="E3">
        <f t="shared" ref="E3:E66" si="0">((B3-A3)-1)/C3</f>
        <v>0.11235955056179775</v>
      </c>
    </row>
    <row r="4" spans="1:8" x14ac:dyDescent="0.3">
      <c r="A4">
        <v>27</v>
      </c>
      <c r="B4">
        <v>50</v>
      </c>
      <c r="C4">
        <v>21</v>
      </c>
      <c r="D4" t="s">
        <v>32</v>
      </c>
      <c r="E4">
        <f t="shared" si="0"/>
        <v>1.0476190476190477</v>
      </c>
      <c r="F4">
        <f>GEOMEAN(E4:E5)</f>
        <v>0.48637345711392005</v>
      </c>
    </row>
    <row r="5" spans="1:8" x14ac:dyDescent="0.3">
      <c r="A5">
        <v>40</v>
      </c>
      <c r="B5">
        <v>55</v>
      </c>
      <c r="C5">
        <v>62</v>
      </c>
      <c r="D5" t="s">
        <v>39</v>
      </c>
      <c r="E5">
        <f t="shared" si="0"/>
        <v>0.22580645161290322</v>
      </c>
    </row>
    <row r="6" spans="1:8" x14ac:dyDescent="0.3">
      <c r="A6">
        <v>11</v>
      </c>
      <c r="B6">
        <v>30</v>
      </c>
      <c r="C6">
        <v>7</v>
      </c>
      <c r="D6" t="s">
        <v>32</v>
      </c>
      <c r="E6">
        <f t="shared" si="0"/>
        <v>2.5714285714285716</v>
      </c>
    </row>
    <row r="7" spans="1:8" x14ac:dyDescent="0.3">
      <c r="A7">
        <v>15</v>
      </c>
      <c r="B7">
        <v>35</v>
      </c>
      <c r="C7">
        <v>13</v>
      </c>
      <c r="D7" t="s">
        <v>32</v>
      </c>
      <c r="E7">
        <f t="shared" si="0"/>
        <v>1.4615384615384615</v>
      </c>
    </row>
    <row r="8" spans="1:8" x14ac:dyDescent="0.3">
      <c r="A8">
        <v>67</v>
      </c>
      <c r="B8">
        <v>75</v>
      </c>
      <c r="C8">
        <v>119</v>
      </c>
      <c r="D8" t="s">
        <v>32</v>
      </c>
      <c r="E8">
        <f t="shared" si="0"/>
        <v>5.8823529411764705E-2</v>
      </c>
    </row>
    <row r="9" spans="1:8" x14ac:dyDescent="0.3">
      <c r="A9">
        <v>27</v>
      </c>
      <c r="B9">
        <v>50</v>
      </c>
      <c r="C9">
        <v>21</v>
      </c>
      <c r="D9" t="s">
        <v>32</v>
      </c>
      <c r="E9">
        <f t="shared" si="0"/>
        <v>1.0476190476190477</v>
      </c>
    </row>
    <row r="10" spans="1:8" x14ac:dyDescent="0.3">
      <c r="A10">
        <v>49</v>
      </c>
      <c r="B10">
        <v>60</v>
      </c>
      <c r="C10">
        <v>89</v>
      </c>
      <c r="D10" t="s">
        <v>32</v>
      </c>
      <c r="E10">
        <f t="shared" si="0"/>
        <v>0.11235955056179775</v>
      </c>
    </row>
    <row r="11" spans="1:8" x14ac:dyDescent="0.3">
      <c r="A11">
        <v>67</v>
      </c>
      <c r="B11">
        <v>75</v>
      </c>
      <c r="C11">
        <v>119</v>
      </c>
      <c r="D11" t="s">
        <v>32</v>
      </c>
      <c r="E11">
        <f t="shared" si="0"/>
        <v>5.8823529411764705E-2</v>
      </c>
    </row>
    <row r="12" spans="1:8" x14ac:dyDescent="0.3">
      <c r="A12">
        <v>78</v>
      </c>
      <c r="B12">
        <v>80</v>
      </c>
      <c r="C12">
        <v>162</v>
      </c>
      <c r="D12" t="s">
        <v>32</v>
      </c>
      <c r="E12">
        <f t="shared" si="0"/>
        <v>6.1728395061728392E-3</v>
      </c>
    </row>
    <row r="13" spans="1:8" x14ac:dyDescent="0.3">
      <c r="A13">
        <v>40</v>
      </c>
      <c r="B13">
        <v>55</v>
      </c>
      <c r="C13">
        <v>62</v>
      </c>
      <c r="D13" t="s">
        <v>32</v>
      </c>
      <c r="E13">
        <f t="shared" si="0"/>
        <v>0.22580645161290322</v>
      </c>
      <c r="F13">
        <f>GEOMEAN(E13:E14)</f>
        <v>0.76200076200114297</v>
      </c>
    </row>
    <row r="14" spans="1:8" x14ac:dyDescent="0.3">
      <c r="A14">
        <v>11</v>
      </c>
      <c r="B14">
        <v>30</v>
      </c>
      <c r="C14">
        <v>7</v>
      </c>
      <c r="D14" t="s">
        <v>39</v>
      </c>
      <c r="E14">
        <f t="shared" si="0"/>
        <v>2.5714285714285716</v>
      </c>
    </row>
    <row r="15" spans="1:8" x14ac:dyDescent="0.3">
      <c r="A15">
        <v>15</v>
      </c>
      <c r="B15">
        <v>35</v>
      </c>
      <c r="C15">
        <v>13</v>
      </c>
      <c r="D15" t="s">
        <v>39</v>
      </c>
      <c r="E15">
        <f t="shared" si="0"/>
        <v>1.4615384615384615</v>
      </c>
    </row>
    <row r="16" spans="1:8" x14ac:dyDescent="0.3">
      <c r="A16">
        <v>11</v>
      </c>
      <c r="B16">
        <v>30</v>
      </c>
      <c r="C16">
        <v>7</v>
      </c>
      <c r="D16" t="s">
        <v>39</v>
      </c>
      <c r="E16">
        <f t="shared" si="0"/>
        <v>2.5714285714285716</v>
      </c>
    </row>
    <row r="17" spans="1:6" x14ac:dyDescent="0.3">
      <c r="A17">
        <v>40</v>
      </c>
      <c r="B17">
        <v>55</v>
      </c>
      <c r="C17">
        <v>62</v>
      </c>
      <c r="D17" t="s">
        <v>32</v>
      </c>
      <c r="E17">
        <f t="shared" si="0"/>
        <v>0.22580645161290322</v>
      </c>
    </row>
    <row r="18" spans="1:6" x14ac:dyDescent="0.3">
      <c r="A18">
        <v>78</v>
      </c>
      <c r="B18">
        <v>80</v>
      </c>
      <c r="C18">
        <v>162</v>
      </c>
      <c r="D18" t="s">
        <v>32</v>
      </c>
      <c r="E18">
        <f t="shared" si="0"/>
        <v>6.1728395061728392E-3</v>
      </c>
    </row>
    <row r="19" spans="1:6" x14ac:dyDescent="0.3">
      <c r="A19">
        <v>27</v>
      </c>
      <c r="B19">
        <v>50</v>
      </c>
      <c r="C19">
        <v>21</v>
      </c>
      <c r="D19" t="s">
        <v>32</v>
      </c>
      <c r="E19">
        <f t="shared" si="0"/>
        <v>1.0476190476190477</v>
      </c>
      <c r="F19">
        <f>GEOMEAN(E19:E20)</f>
        <v>1.2373906138061381</v>
      </c>
    </row>
    <row r="20" spans="1:6" x14ac:dyDescent="0.3">
      <c r="A20">
        <v>15</v>
      </c>
      <c r="B20">
        <v>35</v>
      </c>
      <c r="C20">
        <v>13</v>
      </c>
      <c r="D20" t="s">
        <v>39</v>
      </c>
      <c r="E20">
        <f t="shared" si="0"/>
        <v>1.4615384615384615</v>
      </c>
    </row>
    <row r="21" spans="1:6" x14ac:dyDescent="0.3">
      <c r="A21">
        <v>49</v>
      </c>
      <c r="B21">
        <v>60</v>
      </c>
      <c r="C21">
        <v>89</v>
      </c>
      <c r="D21" t="s">
        <v>32</v>
      </c>
      <c r="E21">
        <f t="shared" si="0"/>
        <v>0.11235955056179775</v>
      </c>
      <c r="F21">
        <f>GEOMEAN(E21:E22)</f>
        <v>8.1298126221731423E-2</v>
      </c>
    </row>
    <row r="22" spans="1:6" x14ac:dyDescent="0.3">
      <c r="A22">
        <v>67</v>
      </c>
      <c r="B22">
        <v>75</v>
      </c>
      <c r="C22">
        <v>119</v>
      </c>
      <c r="D22" t="s">
        <v>39</v>
      </c>
      <c r="E22">
        <f t="shared" si="0"/>
        <v>5.8823529411764705E-2</v>
      </c>
    </row>
    <row r="23" spans="1:6" x14ac:dyDescent="0.3">
      <c r="A23">
        <v>78</v>
      </c>
      <c r="B23">
        <v>80</v>
      </c>
      <c r="C23">
        <v>162</v>
      </c>
      <c r="D23" t="s">
        <v>32</v>
      </c>
      <c r="E23">
        <f t="shared" si="0"/>
        <v>6.1728395061728392E-3</v>
      </c>
    </row>
    <row r="24" spans="1:6" x14ac:dyDescent="0.3">
      <c r="A24">
        <v>67</v>
      </c>
      <c r="B24">
        <v>75</v>
      </c>
      <c r="C24">
        <v>119</v>
      </c>
      <c r="D24" t="s">
        <v>32</v>
      </c>
      <c r="E24">
        <f t="shared" si="0"/>
        <v>5.8823529411764705E-2</v>
      </c>
    </row>
    <row r="25" spans="1:6" x14ac:dyDescent="0.3">
      <c r="A25">
        <v>15</v>
      </c>
      <c r="B25">
        <v>35</v>
      </c>
      <c r="C25">
        <v>13</v>
      </c>
      <c r="D25" t="s">
        <v>32</v>
      </c>
      <c r="E25">
        <f t="shared" si="0"/>
        <v>1.4615384615384615</v>
      </c>
      <c r="F25">
        <f>GEOMEAN(E25:E26)</f>
        <v>1.938618517976592</v>
      </c>
    </row>
    <row r="26" spans="1:6" x14ac:dyDescent="0.3">
      <c r="A26">
        <v>11</v>
      </c>
      <c r="B26">
        <v>30</v>
      </c>
      <c r="C26">
        <v>7</v>
      </c>
      <c r="D26" t="s">
        <v>39</v>
      </c>
      <c r="E26">
        <f t="shared" si="0"/>
        <v>2.5714285714285716</v>
      </c>
    </row>
    <row r="27" spans="1:6" x14ac:dyDescent="0.3">
      <c r="A27">
        <v>49</v>
      </c>
      <c r="B27">
        <v>60</v>
      </c>
      <c r="C27">
        <v>89</v>
      </c>
      <c r="D27" t="s">
        <v>32</v>
      </c>
      <c r="E27">
        <f t="shared" si="0"/>
        <v>0.11235955056179775</v>
      </c>
    </row>
    <row r="28" spans="1:6" x14ac:dyDescent="0.3">
      <c r="A28">
        <v>27</v>
      </c>
      <c r="B28">
        <v>50</v>
      </c>
      <c r="C28">
        <v>21</v>
      </c>
      <c r="D28" t="s">
        <v>32</v>
      </c>
      <c r="E28">
        <f t="shared" si="0"/>
        <v>1.0476190476190477</v>
      </c>
    </row>
    <row r="29" spans="1:6" x14ac:dyDescent="0.3">
      <c r="A29">
        <v>40</v>
      </c>
      <c r="B29">
        <v>55</v>
      </c>
      <c r="C29">
        <v>62</v>
      </c>
      <c r="D29" t="s">
        <v>32</v>
      </c>
      <c r="E29">
        <f t="shared" si="0"/>
        <v>0.22580645161290322</v>
      </c>
    </row>
    <row r="30" spans="1:6" x14ac:dyDescent="0.3">
      <c r="A30">
        <v>40</v>
      </c>
      <c r="B30">
        <v>55</v>
      </c>
      <c r="C30">
        <v>62</v>
      </c>
      <c r="D30" t="s">
        <v>32</v>
      </c>
      <c r="E30">
        <f t="shared" si="0"/>
        <v>0.22580645161290322</v>
      </c>
    </row>
    <row r="31" spans="1:6" x14ac:dyDescent="0.3">
      <c r="A31">
        <v>67</v>
      </c>
      <c r="B31">
        <v>75</v>
      </c>
      <c r="C31">
        <v>119</v>
      </c>
      <c r="D31" t="s">
        <v>32</v>
      </c>
      <c r="E31">
        <f t="shared" si="0"/>
        <v>5.8823529411764705E-2</v>
      </c>
    </row>
    <row r="32" spans="1:6" x14ac:dyDescent="0.3">
      <c r="A32">
        <v>27</v>
      </c>
      <c r="B32">
        <v>50</v>
      </c>
      <c r="C32">
        <v>21</v>
      </c>
      <c r="D32" t="s">
        <v>32</v>
      </c>
      <c r="E32">
        <f t="shared" si="0"/>
        <v>1.0476190476190477</v>
      </c>
      <c r="F32">
        <f>GEOMEAN(E32:E33)</f>
        <v>1.6413036132965797</v>
      </c>
    </row>
    <row r="33" spans="1:6" x14ac:dyDescent="0.3">
      <c r="A33">
        <v>11</v>
      </c>
      <c r="B33">
        <v>30</v>
      </c>
      <c r="C33">
        <v>7</v>
      </c>
      <c r="D33" t="s">
        <v>39</v>
      </c>
      <c r="E33">
        <f t="shared" si="0"/>
        <v>2.5714285714285716</v>
      </c>
    </row>
    <row r="34" spans="1:6" x14ac:dyDescent="0.3">
      <c r="A34">
        <v>15</v>
      </c>
      <c r="B34">
        <v>35</v>
      </c>
      <c r="C34">
        <v>13</v>
      </c>
      <c r="D34" t="s">
        <v>32</v>
      </c>
      <c r="E34">
        <f t="shared" si="0"/>
        <v>1.4615384615384615</v>
      </c>
    </row>
    <row r="35" spans="1:6" x14ac:dyDescent="0.3">
      <c r="A35">
        <v>78</v>
      </c>
      <c r="B35">
        <v>80</v>
      </c>
      <c r="C35">
        <v>162</v>
      </c>
      <c r="D35" t="s">
        <v>32</v>
      </c>
      <c r="E35">
        <f t="shared" si="0"/>
        <v>6.1728395061728392E-3</v>
      </c>
    </row>
    <row r="36" spans="1:6" x14ac:dyDescent="0.3">
      <c r="A36">
        <v>49</v>
      </c>
      <c r="B36">
        <v>60</v>
      </c>
      <c r="C36">
        <v>89</v>
      </c>
      <c r="D36" t="s">
        <v>32</v>
      </c>
      <c r="E36">
        <f t="shared" si="0"/>
        <v>0.11235955056179775</v>
      </c>
      <c r="F36">
        <f>GEOMEAN(E36:E37)</f>
        <v>0.53751703097434966</v>
      </c>
    </row>
    <row r="37" spans="1:6" x14ac:dyDescent="0.3">
      <c r="A37">
        <v>11</v>
      </c>
      <c r="B37">
        <v>30</v>
      </c>
      <c r="C37">
        <v>7</v>
      </c>
      <c r="D37" t="s">
        <v>39</v>
      </c>
      <c r="E37">
        <f t="shared" si="0"/>
        <v>2.5714285714285716</v>
      </c>
    </row>
    <row r="38" spans="1:6" x14ac:dyDescent="0.3">
      <c r="A38">
        <v>78</v>
      </c>
      <c r="B38">
        <v>80</v>
      </c>
      <c r="C38">
        <v>162</v>
      </c>
      <c r="D38" t="s">
        <v>32</v>
      </c>
      <c r="E38">
        <f t="shared" si="0"/>
        <v>6.1728395061728392E-3</v>
      </c>
    </row>
    <row r="39" spans="1:6" x14ac:dyDescent="0.3">
      <c r="A39">
        <v>15</v>
      </c>
      <c r="B39">
        <v>35</v>
      </c>
      <c r="C39">
        <v>13</v>
      </c>
      <c r="D39" t="s">
        <v>32</v>
      </c>
      <c r="E39">
        <f t="shared" si="0"/>
        <v>1.4615384615384615</v>
      </c>
    </row>
    <row r="40" spans="1:6" x14ac:dyDescent="0.3">
      <c r="A40">
        <v>67</v>
      </c>
      <c r="B40">
        <v>75</v>
      </c>
      <c r="C40">
        <v>119</v>
      </c>
      <c r="D40" t="s">
        <v>32</v>
      </c>
      <c r="E40">
        <f t="shared" si="0"/>
        <v>5.8823529411764705E-2</v>
      </c>
    </row>
    <row r="41" spans="1:6" x14ac:dyDescent="0.3">
      <c r="A41">
        <v>27</v>
      </c>
      <c r="B41">
        <v>50</v>
      </c>
      <c r="C41">
        <v>21</v>
      </c>
      <c r="D41" t="s">
        <v>32</v>
      </c>
      <c r="E41">
        <f t="shared" si="0"/>
        <v>1.0476190476190477</v>
      </c>
    </row>
    <row r="42" spans="1:6" x14ac:dyDescent="0.3">
      <c r="A42">
        <v>40</v>
      </c>
      <c r="B42">
        <v>55</v>
      </c>
      <c r="C42">
        <v>62</v>
      </c>
      <c r="D42" t="s">
        <v>32</v>
      </c>
      <c r="E42">
        <f t="shared" si="0"/>
        <v>0.22580645161290322</v>
      </c>
    </row>
    <row r="43" spans="1:6" x14ac:dyDescent="0.3">
      <c r="A43">
        <v>49</v>
      </c>
      <c r="B43">
        <v>60</v>
      </c>
      <c r="C43">
        <v>89</v>
      </c>
      <c r="D43" t="s">
        <v>32</v>
      </c>
      <c r="E43">
        <f t="shared" si="0"/>
        <v>0.11235955056179775</v>
      </c>
    </row>
    <row r="44" spans="1:6" x14ac:dyDescent="0.3">
      <c r="A44">
        <v>78</v>
      </c>
      <c r="B44">
        <v>80</v>
      </c>
      <c r="C44">
        <v>162</v>
      </c>
      <c r="D44" t="s">
        <v>32</v>
      </c>
      <c r="E44">
        <f t="shared" si="0"/>
        <v>6.1728395061728392E-3</v>
      </c>
      <c r="F44">
        <f>GEOMEAN(E44:E45)</f>
        <v>0.12598815766974242</v>
      </c>
    </row>
    <row r="45" spans="1:6" x14ac:dyDescent="0.3">
      <c r="A45">
        <v>11</v>
      </c>
      <c r="B45">
        <v>30</v>
      </c>
      <c r="C45">
        <v>7</v>
      </c>
      <c r="D45" t="s">
        <v>39</v>
      </c>
      <c r="E45">
        <f t="shared" si="0"/>
        <v>2.5714285714285716</v>
      </c>
    </row>
    <row r="46" spans="1:6" x14ac:dyDescent="0.3">
      <c r="A46">
        <v>49</v>
      </c>
      <c r="B46">
        <v>60</v>
      </c>
      <c r="C46">
        <v>89</v>
      </c>
      <c r="D46" t="s">
        <v>32</v>
      </c>
      <c r="E46">
        <f t="shared" si="0"/>
        <v>0.11235955056179775</v>
      </c>
    </row>
    <row r="47" spans="1:6" x14ac:dyDescent="0.3">
      <c r="A47">
        <v>27</v>
      </c>
      <c r="B47">
        <v>50</v>
      </c>
      <c r="C47">
        <v>21</v>
      </c>
      <c r="D47" t="s">
        <v>32</v>
      </c>
      <c r="E47">
        <f t="shared" si="0"/>
        <v>1.0476190476190477</v>
      </c>
      <c r="F47">
        <f>GEOMEAN(E47:E48)</f>
        <v>1.2373906138061381</v>
      </c>
    </row>
    <row r="48" spans="1:6" x14ac:dyDescent="0.3">
      <c r="A48">
        <v>15</v>
      </c>
      <c r="B48">
        <v>35</v>
      </c>
      <c r="C48">
        <v>13</v>
      </c>
      <c r="D48" t="s">
        <v>39</v>
      </c>
      <c r="E48">
        <f t="shared" si="0"/>
        <v>1.4615384615384615</v>
      </c>
    </row>
    <row r="49" spans="1:6" x14ac:dyDescent="0.3">
      <c r="A49">
        <v>67</v>
      </c>
      <c r="B49">
        <v>75</v>
      </c>
      <c r="C49">
        <v>119</v>
      </c>
      <c r="D49" t="s">
        <v>32</v>
      </c>
      <c r="E49">
        <f t="shared" si="0"/>
        <v>5.8823529411764705E-2</v>
      </c>
    </row>
    <row r="50" spans="1:6" x14ac:dyDescent="0.3">
      <c r="A50">
        <v>40</v>
      </c>
      <c r="B50">
        <v>55</v>
      </c>
      <c r="C50">
        <v>62</v>
      </c>
      <c r="D50" t="s">
        <v>32</v>
      </c>
      <c r="E50">
        <f t="shared" si="0"/>
        <v>0.22580645161290322</v>
      </c>
      <c r="F50">
        <f>GEOMEAN(E50:E51)</f>
        <v>0.57447786197187933</v>
      </c>
    </row>
    <row r="51" spans="1:6" x14ac:dyDescent="0.3">
      <c r="A51">
        <v>15</v>
      </c>
      <c r="B51">
        <v>35</v>
      </c>
      <c r="C51">
        <v>13</v>
      </c>
      <c r="D51" t="s">
        <v>39</v>
      </c>
      <c r="E51">
        <f t="shared" si="0"/>
        <v>1.4615384615384615</v>
      </c>
    </row>
    <row r="52" spans="1:6" x14ac:dyDescent="0.3">
      <c r="A52">
        <v>67</v>
      </c>
      <c r="B52">
        <v>75</v>
      </c>
      <c r="C52">
        <v>119</v>
      </c>
      <c r="D52" t="s">
        <v>32</v>
      </c>
      <c r="E52">
        <f t="shared" si="0"/>
        <v>5.8823529411764705E-2</v>
      </c>
    </row>
    <row r="53" spans="1:6" x14ac:dyDescent="0.3">
      <c r="A53">
        <v>78</v>
      </c>
      <c r="B53">
        <v>80</v>
      </c>
      <c r="C53">
        <v>162</v>
      </c>
      <c r="D53" t="s">
        <v>32</v>
      </c>
      <c r="E53">
        <f t="shared" si="0"/>
        <v>6.1728395061728392E-3</v>
      </c>
    </row>
    <row r="54" spans="1:6" x14ac:dyDescent="0.3">
      <c r="A54">
        <v>11</v>
      </c>
      <c r="B54">
        <v>30</v>
      </c>
      <c r="C54">
        <v>7</v>
      </c>
      <c r="D54" t="s">
        <v>32</v>
      </c>
      <c r="E54">
        <f t="shared" si="0"/>
        <v>2.5714285714285716</v>
      </c>
    </row>
    <row r="55" spans="1:6" x14ac:dyDescent="0.3">
      <c r="A55">
        <v>40</v>
      </c>
      <c r="B55">
        <v>55</v>
      </c>
      <c r="C55">
        <v>62</v>
      </c>
      <c r="D55" t="s">
        <v>32</v>
      </c>
      <c r="E55">
        <f t="shared" si="0"/>
        <v>0.22580645161290322</v>
      </c>
      <c r="F55">
        <f>GEOMEAN(E55:E56)</f>
        <v>0.48637345711392005</v>
      </c>
    </row>
    <row r="56" spans="1:6" x14ac:dyDescent="0.3">
      <c r="A56">
        <v>27</v>
      </c>
      <c r="B56">
        <v>50</v>
      </c>
      <c r="C56">
        <v>21</v>
      </c>
      <c r="D56" t="s">
        <v>39</v>
      </c>
      <c r="E56">
        <f t="shared" si="0"/>
        <v>1.0476190476190477</v>
      </c>
    </row>
    <row r="57" spans="1:6" x14ac:dyDescent="0.3">
      <c r="A57">
        <v>49</v>
      </c>
      <c r="B57">
        <v>60</v>
      </c>
      <c r="C57">
        <v>89</v>
      </c>
      <c r="D57" t="s">
        <v>32</v>
      </c>
      <c r="E57">
        <f t="shared" si="0"/>
        <v>0.11235955056179775</v>
      </c>
    </row>
    <row r="58" spans="1:6" x14ac:dyDescent="0.3">
      <c r="A58">
        <v>40</v>
      </c>
      <c r="B58">
        <v>55</v>
      </c>
      <c r="C58">
        <v>62</v>
      </c>
      <c r="D58" t="s">
        <v>32</v>
      </c>
      <c r="E58">
        <f t="shared" si="0"/>
        <v>0.22580645161290322</v>
      </c>
    </row>
    <row r="59" spans="1:6" x14ac:dyDescent="0.3">
      <c r="A59">
        <v>67</v>
      </c>
      <c r="B59">
        <v>75</v>
      </c>
      <c r="C59">
        <v>119</v>
      </c>
      <c r="D59" t="s">
        <v>32</v>
      </c>
      <c r="E59">
        <f t="shared" si="0"/>
        <v>5.8823529411764705E-2</v>
      </c>
    </row>
    <row r="60" spans="1:6" x14ac:dyDescent="0.3">
      <c r="A60">
        <v>27</v>
      </c>
      <c r="B60">
        <v>50</v>
      </c>
      <c r="C60">
        <v>21</v>
      </c>
      <c r="D60" t="s">
        <v>32</v>
      </c>
      <c r="E60">
        <f t="shared" si="0"/>
        <v>1.0476190476190477</v>
      </c>
      <c r="F60">
        <f>GEOMEAN(E60:E61)</f>
        <v>1.2373906138061381</v>
      </c>
    </row>
    <row r="61" spans="1:6" x14ac:dyDescent="0.3">
      <c r="A61">
        <v>15</v>
      </c>
      <c r="B61">
        <v>35</v>
      </c>
      <c r="C61">
        <v>13</v>
      </c>
      <c r="D61" t="s">
        <v>39</v>
      </c>
      <c r="E61">
        <f t="shared" si="0"/>
        <v>1.4615384615384615</v>
      </c>
    </row>
    <row r="62" spans="1:6" x14ac:dyDescent="0.3">
      <c r="A62">
        <v>78</v>
      </c>
      <c r="B62">
        <v>80</v>
      </c>
      <c r="C62">
        <v>162</v>
      </c>
      <c r="D62" t="s">
        <v>32</v>
      </c>
      <c r="E62">
        <f t="shared" si="0"/>
        <v>6.1728395061728392E-3</v>
      </c>
    </row>
    <row r="63" spans="1:6" x14ac:dyDescent="0.3">
      <c r="A63">
        <v>49</v>
      </c>
      <c r="B63">
        <v>60</v>
      </c>
      <c r="C63">
        <v>89</v>
      </c>
      <c r="D63" t="s">
        <v>32</v>
      </c>
      <c r="E63">
        <f t="shared" si="0"/>
        <v>0.11235955056179775</v>
      </c>
      <c r="F63">
        <f>GEOMEAN(E63:E64)</f>
        <v>0.53751703097434966</v>
      </c>
    </row>
    <row r="64" spans="1:6" x14ac:dyDescent="0.3">
      <c r="A64">
        <v>11</v>
      </c>
      <c r="B64">
        <v>30</v>
      </c>
      <c r="C64">
        <v>7</v>
      </c>
      <c r="D64" t="s">
        <v>39</v>
      </c>
      <c r="E64">
        <f t="shared" si="0"/>
        <v>2.5714285714285716</v>
      </c>
    </row>
    <row r="65" spans="1:6" x14ac:dyDescent="0.3">
      <c r="A65">
        <v>78</v>
      </c>
      <c r="B65">
        <v>80</v>
      </c>
      <c r="C65">
        <v>162</v>
      </c>
      <c r="D65" t="s">
        <v>32</v>
      </c>
      <c r="E65">
        <f t="shared" si="0"/>
        <v>6.1728395061728392E-3</v>
      </c>
    </row>
    <row r="66" spans="1:6" x14ac:dyDescent="0.3">
      <c r="A66">
        <v>67</v>
      </c>
      <c r="B66">
        <v>75</v>
      </c>
      <c r="C66">
        <v>119</v>
      </c>
      <c r="D66" t="s">
        <v>32</v>
      </c>
      <c r="E66">
        <f t="shared" si="0"/>
        <v>5.8823529411764705E-2</v>
      </c>
      <c r="F66">
        <f>GEOMEAN(E66:E67)</f>
        <v>0.38892223413129867</v>
      </c>
    </row>
    <row r="67" spans="1:6" x14ac:dyDescent="0.3">
      <c r="A67">
        <v>11</v>
      </c>
      <c r="B67">
        <v>30</v>
      </c>
      <c r="C67">
        <v>7</v>
      </c>
      <c r="D67" t="s">
        <v>39</v>
      </c>
      <c r="E67">
        <f t="shared" ref="E67:E101" si="1">((B67-A67)-1)/C67</f>
        <v>2.5714285714285716</v>
      </c>
    </row>
    <row r="68" spans="1:6" x14ac:dyDescent="0.3">
      <c r="A68">
        <v>27</v>
      </c>
      <c r="B68">
        <v>50</v>
      </c>
      <c r="C68">
        <v>21</v>
      </c>
      <c r="D68" t="s">
        <v>39</v>
      </c>
      <c r="E68">
        <f t="shared" si="1"/>
        <v>1.0476190476190477</v>
      </c>
    </row>
    <row r="69" spans="1:6" x14ac:dyDescent="0.3">
      <c r="A69">
        <v>40</v>
      </c>
      <c r="B69">
        <v>55</v>
      </c>
      <c r="C69">
        <v>62</v>
      </c>
      <c r="D69" t="s">
        <v>32</v>
      </c>
      <c r="E69">
        <f t="shared" si="1"/>
        <v>0.22580645161290322</v>
      </c>
    </row>
    <row r="70" spans="1:6" x14ac:dyDescent="0.3">
      <c r="A70">
        <v>49</v>
      </c>
      <c r="B70">
        <v>60</v>
      </c>
      <c r="C70">
        <v>89</v>
      </c>
      <c r="D70" t="s">
        <v>32</v>
      </c>
      <c r="E70">
        <f t="shared" si="1"/>
        <v>0.11235955056179775</v>
      </c>
      <c r="F70">
        <f>GEOMEAN(E70:E71)</f>
        <v>0.4052379605457056</v>
      </c>
    </row>
    <row r="71" spans="1:6" x14ac:dyDescent="0.3">
      <c r="A71">
        <v>15</v>
      </c>
      <c r="B71">
        <v>35</v>
      </c>
      <c r="C71">
        <v>13</v>
      </c>
      <c r="D71" t="s">
        <v>39</v>
      </c>
      <c r="E71">
        <f t="shared" si="1"/>
        <v>1.4615384615384615</v>
      </c>
    </row>
    <row r="72" spans="1:6" x14ac:dyDescent="0.3">
      <c r="A72">
        <v>49</v>
      </c>
      <c r="B72">
        <v>60</v>
      </c>
      <c r="C72">
        <v>89</v>
      </c>
      <c r="D72" t="s">
        <v>32</v>
      </c>
      <c r="E72">
        <f t="shared" si="1"/>
        <v>0.11235955056179775</v>
      </c>
    </row>
    <row r="73" spans="1:6" x14ac:dyDescent="0.3">
      <c r="A73">
        <v>15</v>
      </c>
      <c r="B73">
        <v>35</v>
      </c>
      <c r="C73">
        <v>13</v>
      </c>
      <c r="D73" t="s">
        <v>32</v>
      </c>
      <c r="E73">
        <f t="shared" si="1"/>
        <v>1.4615384615384615</v>
      </c>
    </row>
    <row r="74" spans="1:6" x14ac:dyDescent="0.3">
      <c r="A74">
        <v>67</v>
      </c>
      <c r="B74">
        <v>75</v>
      </c>
      <c r="C74">
        <v>119</v>
      </c>
      <c r="D74" t="s">
        <v>32</v>
      </c>
      <c r="E74">
        <f t="shared" si="1"/>
        <v>5.8823529411764705E-2</v>
      </c>
      <c r="F74">
        <f>GEOMEAN(E74:E75)</f>
        <v>0.38892223413129867</v>
      </c>
    </row>
    <row r="75" spans="1:6" x14ac:dyDescent="0.3">
      <c r="A75">
        <v>11</v>
      </c>
      <c r="B75">
        <v>30</v>
      </c>
      <c r="C75">
        <v>7</v>
      </c>
      <c r="D75" t="s">
        <v>39</v>
      </c>
      <c r="E75">
        <f t="shared" si="1"/>
        <v>2.5714285714285716</v>
      </c>
    </row>
    <row r="76" spans="1:6" x14ac:dyDescent="0.3">
      <c r="A76">
        <v>40</v>
      </c>
      <c r="B76">
        <v>55</v>
      </c>
      <c r="C76">
        <v>62</v>
      </c>
      <c r="D76" t="s">
        <v>32</v>
      </c>
      <c r="E76">
        <f t="shared" si="1"/>
        <v>0.22580645161290322</v>
      </c>
      <c r="F76">
        <f>GEOMEAN(E76)</f>
        <v>0.22580645161290322</v>
      </c>
    </row>
    <row r="77" spans="1:6" x14ac:dyDescent="0.3">
      <c r="A77">
        <v>27</v>
      </c>
      <c r="B77">
        <v>50</v>
      </c>
      <c r="C77">
        <v>21</v>
      </c>
      <c r="D77" t="s">
        <v>39</v>
      </c>
      <c r="E77">
        <f t="shared" si="1"/>
        <v>1.0476190476190477</v>
      </c>
    </row>
    <row r="78" spans="1:6" x14ac:dyDescent="0.3">
      <c r="A78">
        <v>78</v>
      </c>
      <c r="B78">
        <v>80</v>
      </c>
      <c r="C78">
        <v>162</v>
      </c>
      <c r="D78" t="s">
        <v>32</v>
      </c>
      <c r="E78">
        <f t="shared" si="1"/>
        <v>6.1728395061728392E-3</v>
      </c>
    </row>
    <row r="79" spans="1:6" x14ac:dyDescent="0.3">
      <c r="A79">
        <v>40</v>
      </c>
      <c r="B79">
        <v>55</v>
      </c>
      <c r="C79">
        <v>62</v>
      </c>
      <c r="D79" t="s">
        <v>32</v>
      </c>
      <c r="E79">
        <f t="shared" si="1"/>
        <v>0.22580645161290322</v>
      </c>
      <c r="F79">
        <f>GEOMEAN(E79:E80)</f>
        <v>0.76200076200114297</v>
      </c>
    </row>
    <row r="80" spans="1:6" x14ac:dyDescent="0.3">
      <c r="A80">
        <v>11</v>
      </c>
      <c r="B80">
        <v>30</v>
      </c>
      <c r="C80">
        <v>7</v>
      </c>
      <c r="D80" t="s">
        <v>39</v>
      </c>
      <c r="E80">
        <f t="shared" si="1"/>
        <v>2.5714285714285716</v>
      </c>
    </row>
    <row r="81" spans="1:6" x14ac:dyDescent="0.3">
      <c r="A81">
        <v>49</v>
      </c>
      <c r="B81">
        <v>60</v>
      </c>
      <c r="C81">
        <v>89</v>
      </c>
      <c r="D81" t="s">
        <v>32</v>
      </c>
      <c r="E81">
        <f t="shared" si="1"/>
        <v>0.11235955056179775</v>
      </c>
    </row>
    <row r="82" spans="1:6" x14ac:dyDescent="0.3">
      <c r="A82">
        <v>67</v>
      </c>
      <c r="B82">
        <v>75</v>
      </c>
      <c r="C82">
        <v>119</v>
      </c>
      <c r="D82" t="s">
        <v>32</v>
      </c>
      <c r="E82">
        <f t="shared" si="1"/>
        <v>5.8823529411764705E-2</v>
      </c>
      <c r="F82">
        <f>GEOMEAN(E82:E83)</f>
        <v>0.29321127310990797</v>
      </c>
    </row>
    <row r="83" spans="1:6" x14ac:dyDescent="0.3">
      <c r="A83">
        <v>15</v>
      </c>
      <c r="B83">
        <v>35</v>
      </c>
      <c r="C83">
        <v>13</v>
      </c>
      <c r="D83" t="s">
        <v>39</v>
      </c>
      <c r="E83">
        <f t="shared" si="1"/>
        <v>1.4615384615384615</v>
      </c>
    </row>
    <row r="84" spans="1:6" x14ac:dyDescent="0.3">
      <c r="A84">
        <v>27</v>
      </c>
      <c r="B84">
        <v>50</v>
      </c>
      <c r="C84">
        <v>21</v>
      </c>
      <c r="D84" t="s">
        <v>39</v>
      </c>
      <c r="E84">
        <f t="shared" si="1"/>
        <v>1.0476190476190477</v>
      </c>
    </row>
    <row r="85" spans="1:6" x14ac:dyDescent="0.3">
      <c r="A85">
        <v>78</v>
      </c>
      <c r="B85">
        <v>80</v>
      </c>
      <c r="C85">
        <v>162</v>
      </c>
      <c r="D85" t="s">
        <v>39</v>
      </c>
      <c r="E85">
        <f t="shared" si="1"/>
        <v>6.1728395061728392E-3</v>
      </c>
    </row>
    <row r="86" spans="1:6" x14ac:dyDescent="0.3">
      <c r="A86">
        <v>27</v>
      </c>
      <c r="B86">
        <v>50</v>
      </c>
      <c r="C86">
        <v>21</v>
      </c>
      <c r="D86" t="s">
        <v>32</v>
      </c>
      <c r="E86">
        <f t="shared" si="1"/>
        <v>1.0476190476190477</v>
      </c>
    </row>
    <row r="87" spans="1:6" x14ac:dyDescent="0.3">
      <c r="A87">
        <v>49</v>
      </c>
      <c r="B87">
        <v>60</v>
      </c>
      <c r="C87">
        <v>89</v>
      </c>
      <c r="D87" t="s">
        <v>32</v>
      </c>
      <c r="E87">
        <f t="shared" si="1"/>
        <v>0.11235955056179775</v>
      </c>
    </row>
    <row r="88" spans="1:6" x14ac:dyDescent="0.3">
      <c r="A88">
        <v>67</v>
      </c>
      <c r="B88">
        <v>75</v>
      </c>
      <c r="C88">
        <v>119</v>
      </c>
      <c r="D88" t="s">
        <v>32</v>
      </c>
      <c r="E88">
        <f t="shared" si="1"/>
        <v>5.8823529411764705E-2</v>
      </c>
    </row>
    <row r="89" spans="1:6" x14ac:dyDescent="0.3">
      <c r="A89">
        <v>40</v>
      </c>
      <c r="B89">
        <v>55</v>
      </c>
      <c r="C89">
        <v>62</v>
      </c>
      <c r="D89" t="s">
        <v>32</v>
      </c>
      <c r="E89">
        <f t="shared" si="1"/>
        <v>0.22580645161290322</v>
      </c>
    </row>
    <row r="90" spans="1:6" x14ac:dyDescent="0.3">
      <c r="A90">
        <v>78</v>
      </c>
      <c r="B90">
        <v>80</v>
      </c>
      <c r="C90">
        <v>162</v>
      </c>
      <c r="D90" t="s">
        <v>32</v>
      </c>
      <c r="E90">
        <f t="shared" si="1"/>
        <v>6.1728395061728392E-3</v>
      </c>
    </row>
    <row r="91" spans="1:6" x14ac:dyDescent="0.3">
      <c r="A91">
        <v>15</v>
      </c>
      <c r="B91">
        <v>35</v>
      </c>
      <c r="C91">
        <v>13</v>
      </c>
      <c r="D91" t="s">
        <v>32</v>
      </c>
      <c r="E91">
        <f t="shared" si="1"/>
        <v>1.4615384615384615</v>
      </c>
      <c r="F91">
        <f>GEOMEAN(E91:E92)</f>
        <v>1.938618517976592</v>
      </c>
    </row>
    <row r="92" spans="1:6" x14ac:dyDescent="0.3">
      <c r="A92">
        <v>11</v>
      </c>
      <c r="B92">
        <v>30</v>
      </c>
      <c r="C92">
        <v>7</v>
      </c>
      <c r="D92" t="s">
        <v>39</v>
      </c>
      <c r="E92">
        <f t="shared" si="1"/>
        <v>2.5714285714285716</v>
      </c>
    </row>
    <row r="93" spans="1:6" x14ac:dyDescent="0.3">
      <c r="A93">
        <v>40</v>
      </c>
      <c r="B93">
        <v>55</v>
      </c>
      <c r="C93">
        <v>62</v>
      </c>
      <c r="D93" t="s">
        <v>32</v>
      </c>
      <c r="E93">
        <f t="shared" si="1"/>
        <v>0.22580645161290322</v>
      </c>
    </row>
    <row r="94" spans="1:6" x14ac:dyDescent="0.3">
      <c r="A94">
        <v>78</v>
      </c>
      <c r="B94">
        <v>80</v>
      </c>
      <c r="C94">
        <v>162</v>
      </c>
      <c r="D94" t="s">
        <v>32</v>
      </c>
      <c r="E94">
        <f t="shared" si="1"/>
        <v>6.1728395061728392E-3</v>
      </c>
      <c r="F94">
        <f>GEOMEAN(E94:E95)</f>
        <v>9.4983379362790027E-2</v>
      </c>
    </row>
    <row r="95" spans="1:6" x14ac:dyDescent="0.3">
      <c r="A95">
        <v>15</v>
      </c>
      <c r="B95">
        <v>35</v>
      </c>
      <c r="C95">
        <v>13</v>
      </c>
      <c r="D95" t="s">
        <v>39</v>
      </c>
      <c r="E95">
        <f t="shared" si="1"/>
        <v>1.4615384615384615</v>
      </c>
    </row>
    <row r="96" spans="1:6" x14ac:dyDescent="0.3">
      <c r="A96">
        <v>27</v>
      </c>
      <c r="B96">
        <v>50</v>
      </c>
      <c r="C96">
        <v>21</v>
      </c>
      <c r="D96" t="s">
        <v>32</v>
      </c>
      <c r="E96">
        <f t="shared" si="1"/>
        <v>1.0476190476190477</v>
      </c>
    </row>
    <row r="97" spans="1:6" x14ac:dyDescent="0.3">
      <c r="A97">
        <v>67</v>
      </c>
      <c r="B97">
        <v>75</v>
      </c>
      <c r="C97">
        <v>119</v>
      </c>
      <c r="D97" t="s">
        <v>32</v>
      </c>
      <c r="E97">
        <f t="shared" si="1"/>
        <v>5.8823529411764705E-2</v>
      </c>
    </row>
    <row r="98" spans="1:6" x14ac:dyDescent="0.3">
      <c r="A98">
        <v>49</v>
      </c>
      <c r="B98">
        <v>60</v>
      </c>
      <c r="C98">
        <v>89</v>
      </c>
      <c r="D98" t="s">
        <v>32</v>
      </c>
      <c r="E98">
        <f t="shared" si="1"/>
        <v>0.11235955056179775</v>
      </c>
      <c r="F98">
        <f>GEOMEAN(E98:E99)</f>
        <v>0.53751703097434966</v>
      </c>
    </row>
    <row r="99" spans="1:6" x14ac:dyDescent="0.3">
      <c r="A99">
        <v>11</v>
      </c>
      <c r="B99">
        <v>30</v>
      </c>
      <c r="C99">
        <v>7</v>
      </c>
      <c r="D99" t="s">
        <v>39</v>
      </c>
      <c r="E99">
        <f t="shared" si="1"/>
        <v>2.5714285714285716</v>
      </c>
    </row>
    <row r="100" spans="1:6" x14ac:dyDescent="0.3">
      <c r="A100">
        <v>15</v>
      </c>
      <c r="B100">
        <v>35</v>
      </c>
      <c r="C100">
        <v>13</v>
      </c>
      <c r="D100" t="s">
        <v>39</v>
      </c>
      <c r="E100">
        <f t="shared" si="1"/>
        <v>1.4615384615384615</v>
      </c>
    </row>
    <row r="101" spans="1:6" x14ac:dyDescent="0.3">
      <c r="A101">
        <v>11</v>
      </c>
      <c r="B101">
        <v>30</v>
      </c>
      <c r="C101">
        <v>7</v>
      </c>
      <c r="D101" t="s">
        <v>39</v>
      </c>
      <c r="E101">
        <f t="shared" si="1"/>
        <v>2.5714285714285716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3l_discounting_2025-11-03_15h16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2025-11-03T09:52:44Z</dcterms:created>
  <dcterms:modified xsi:type="dcterms:W3CDTF">2025-11-03T14:11:27Z</dcterms:modified>
</cp:coreProperties>
</file>