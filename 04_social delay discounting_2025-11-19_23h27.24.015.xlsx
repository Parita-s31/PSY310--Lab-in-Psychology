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1F89FF4B-E4C3-4FD9-A625-7D530A06FA13}" xr6:coauthVersionLast="47" xr6:coauthVersionMax="47" xr10:uidLastSave="{00000000-0000-0000-0000-000000000000}"/>
  <bookViews>
    <workbookView xWindow="-108" yWindow="-108" windowWidth="23256" windowHeight="12456" activeTab="2" xr2:uid="{2041EE2E-2DB8-4C9F-A5D9-5A8A348A5809}"/>
  </bookViews>
  <sheets>
    <sheet name="04_social delay discounting_202" sheetId="1" r:id="rId1"/>
    <sheet name="you" sheetId="2" r:id="rId2"/>
    <sheet name="friend" sheetId="3" r:id="rId3"/>
  </sheets>
  <definedNames>
    <definedName name="_xlnm._FilterDatabase" localSheetId="0" hidden="1">'04_social delay discounting_202'!$A$1:$AG$101</definedName>
  </definedNames>
  <calcPr calcId="191029"/>
</workbook>
</file>

<file path=xl/calcChain.xml><?xml version="1.0" encoding="utf-8"?>
<calcChain xmlns="http://schemas.openxmlformats.org/spreadsheetml/2006/main">
  <c r="H2" i="2" l="1"/>
  <c r="G46" i="2"/>
  <c r="G1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H2" i="3"/>
  <c r="G40" i="3"/>
  <c r="G18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" i="3"/>
</calcChain>
</file>

<file path=xl/sharedStrings.xml><?xml version="1.0" encoding="utf-8"?>
<sst xmlns="http://schemas.openxmlformats.org/spreadsheetml/2006/main" count="1149" uniqueCount="45">
  <si>
    <t>recipient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</si>
  <si>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</si>
  <si>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</si>
  <si>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</si>
  <si>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</si>
  <si>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</si>
  <si>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</si>
  <si>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</si>
  <si>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</si>
  <si>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</si>
  <si>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</si>
  <si>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</si>
  <si>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</si>
  <si>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</si>
  <si>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</si>
  <si>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</si>
  <si>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</si>
  <si>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</si>
  <si>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</si>
  <si>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</si>
  <si>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</si>
  <si>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</si>
  <si>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</si>
  <si>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</si>
  <si>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</si>
  <si>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</si>
  <si>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</si>
  <si>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</si>
  <si>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</si>
  <si>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</si>
  <si>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</si>
  <si>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</si>
  <si>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</si>
  <si>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you</t>
  </si>
  <si>
    <t>t</t>
  </si>
  <si>
    <t>None</t>
  </si>
  <si>
    <t>2025-11-19_23h27.24.015</t>
  </si>
  <si>
    <t>social delay discounting</t>
  </si>
  <si>
    <t>2025.1.1</t>
  </si>
  <si>
    <t>2025-11-19 23h27.47.578340 +0530</t>
  </si>
  <si>
    <t>your friend</t>
  </si>
  <si>
    <t>l</t>
  </si>
  <si>
    <t>k</t>
  </si>
  <si>
    <t>geomean</t>
  </si>
  <si>
    <t>mean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</si>
</sst>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8391-67B1-489C-AEDD-FF443DCCD2C6}">
  <dimension ref="A1:AG101"/>
  <sheetViews>
    <sheetView workbookViewId="0">
      <selection activeCell="D70" sqref="D70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15</v>
      </c>
      <c r="C2">
        <v>35</v>
      </c>
      <c r="D2">
        <v>13</v>
      </c>
      <c r="E2">
        <v>0</v>
      </c>
      <c r="F2">
        <v>0</v>
      </c>
      <c r="G2">
        <v>0</v>
      </c>
      <c r="H2" t="s">
        <v>34</v>
      </c>
      <c r="I2">
        <v>3.6352103999815801</v>
      </c>
      <c r="J2" t="s">
        <v>35</v>
      </c>
      <c r="K2">
        <v>0</v>
      </c>
      <c r="L2">
        <v>0</v>
      </c>
      <c r="M2">
        <v>0</v>
      </c>
      <c r="N2">
        <v>1</v>
      </c>
      <c r="O2">
        <v>7.9169800039380706E-2</v>
      </c>
      <c r="Q2">
        <v>7.6340400031767702E-2</v>
      </c>
      <c r="R2">
        <v>7.9169800039380706E-2</v>
      </c>
      <c r="S2">
        <v>1.01327160000801</v>
      </c>
      <c r="T2">
        <v>1.01327160000801</v>
      </c>
      <c r="U2">
        <v>1.0800005999626501</v>
      </c>
      <c r="V2">
        <v>4.6723008999833802</v>
      </c>
      <c r="W2" t="s">
        <v>34</v>
      </c>
      <c r="X2">
        <v>3.6352103999815801</v>
      </c>
      <c r="Y2" t="s">
        <v>35</v>
      </c>
      <c r="Z2">
        <v>4</v>
      </c>
      <c r="AA2">
        <v>1</v>
      </c>
      <c r="AB2" t="s">
        <v>36</v>
      </c>
      <c r="AC2" t="s">
        <v>37</v>
      </c>
      <c r="AE2" t="s">
        <v>38</v>
      </c>
      <c r="AF2">
        <v>59.989513822973798</v>
      </c>
      <c r="AG2" t="s">
        <v>39</v>
      </c>
    </row>
    <row r="3" spans="1:33" x14ac:dyDescent="0.3">
      <c r="A3" t="s">
        <v>33</v>
      </c>
      <c r="B3">
        <v>11</v>
      </c>
      <c r="C3">
        <v>30</v>
      </c>
      <c r="D3">
        <v>7</v>
      </c>
      <c r="E3">
        <v>1</v>
      </c>
      <c r="F3">
        <v>1</v>
      </c>
      <c r="G3">
        <v>0</v>
      </c>
      <c r="H3" t="s">
        <v>34</v>
      </c>
      <c r="I3">
        <v>0.527065199916251</v>
      </c>
      <c r="J3" t="s">
        <v>35</v>
      </c>
      <c r="K3">
        <v>0</v>
      </c>
      <c r="L3">
        <v>1</v>
      </c>
      <c r="M3">
        <v>1</v>
      </c>
      <c r="N3">
        <v>0</v>
      </c>
      <c r="O3">
        <v>4.6884229000424904</v>
      </c>
      <c r="Q3">
        <v>4.6851083999499599</v>
      </c>
      <c r="R3">
        <v>4.6884229000424904</v>
      </c>
      <c r="S3">
        <v>5.6800477999495298</v>
      </c>
      <c r="T3">
        <v>5.6800477999495298</v>
      </c>
      <c r="U3">
        <v>5.6965070000151101</v>
      </c>
      <c r="V3">
        <v>6.2136356000555599</v>
      </c>
      <c r="W3" t="s">
        <v>34</v>
      </c>
      <c r="X3">
        <v>0.527065199916251</v>
      </c>
      <c r="Y3" t="s">
        <v>35</v>
      </c>
      <c r="Z3">
        <v>4</v>
      </c>
      <c r="AA3">
        <v>1</v>
      </c>
      <c r="AB3" t="s">
        <v>36</v>
      </c>
      <c r="AC3" t="s">
        <v>37</v>
      </c>
      <c r="AE3" t="s">
        <v>38</v>
      </c>
      <c r="AF3">
        <v>59.989513822973798</v>
      </c>
      <c r="AG3" t="s">
        <v>39</v>
      </c>
    </row>
    <row r="4" spans="1:33" x14ac:dyDescent="0.3">
      <c r="A4" t="s">
        <v>40</v>
      </c>
      <c r="B4">
        <v>67</v>
      </c>
      <c r="C4">
        <v>75</v>
      </c>
      <c r="D4">
        <v>119</v>
      </c>
      <c r="E4">
        <v>2</v>
      </c>
      <c r="F4">
        <v>2</v>
      </c>
      <c r="G4">
        <v>0</v>
      </c>
      <c r="H4" t="s">
        <v>41</v>
      </c>
      <c r="I4">
        <v>1.06798109994269</v>
      </c>
      <c r="J4" t="s">
        <v>35</v>
      </c>
      <c r="K4">
        <v>0</v>
      </c>
      <c r="L4">
        <v>2</v>
      </c>
      <c r="M4">
        <v>2</v>
      </c>
      <c r="N4">
        <v>15</v>
      </c>
      <c r="O4">
        <v>6.2305766999488696</v>
      </c>
      <c r="Q4">
        <v>6.22718160005752</v>
      </c>
      <c r="R4">
        <v>6.2305766999488696</v>
      </c>
      <c r="S4">
        <v>7.21316070004832</v>
      </c>
      <c r="T4">
        <v>7.21316070004832</v>
      </c>
      <c r="U4">
        <v>7.2297814000630698</v>
      </c>
      <c r="V4">
        <v>8.2972832999657804</v>
      </c>
      <c r="W4" t="s">
        <v>41</v>
      </c>
      <c r="X4">
        <v>1.06798109994269</v>
      </c>
      <c r="Y4" t="s">
        <v>35</v>
      </c>
      <c r="Z4">
        <v>4</v>
      </c>
      <c r="AA4">
        <v>1</v>
      </c>
      <c r="AB4" t="s">
        <v>36</v>
      </c>
      <c r="AC4" t="s">
        <v>37</v>
      </c>
      <c r="AE4" t="s">
        <v>38</v>
      </c>
      <c r="AF4">
        <v>59.989513822973798</v>
      </c>
      <c r="AG4" t="s">
        <v>39</v>
      </c>
    </row>
    <row r="5" spans="1:33" x14ac:dyDescent="0.3">
      <c r="A5" t="s">
        <v>40</v>
      </c>
      <c r="B5">
        <v>40</v>
      </c>
      <c r="C5">
        <v>55</v>
      </c>
      <c r="D5">
        <v>62</v>
      </c>
      <c r="E5">
        <v>3</v>
      </c>
      <c r="F5">
        <v>3</v>
      </c>
      <c r="G5">
        <v>0</v>
      </c>
      <c r="H5" t="s">
        <v>41</v>
      </c>
      <c r="I5">
        <v>0.863454599981196</v>
      </c>
      <c r="J5" t="s">
        <v>35</v>
      </c>
      <c r="K5">
        <v>0</v>
      </c>
      <c r="L5">
        <v>3</v>
      </c>
      <c r="M5">
        <v>3</v>
      </c>
      <c r="N5">
        <v>13</v>
      </c>
      <c r="O5">
        <v>8.3160219000419602</v>
      </c>
      <c r="Q5">
        <v>8.3128167999675497</v>
      </c>
      <c r="R5">
        <v>8.3160219000419602</v>
      </c>
      <c r="S5">
        <v>9.3129786000354198</v>
      </c>
      <c r="T5">
        <v>9.3129786000354198</v>
      </c>
      <c r="U5">
        <v>9.3296210999833402</v>
      </c>
      <c r="V5">
        <v>10.1802235000068</v>
      </c>
      <c r="W5" t="s">
        <v>41</v>
      </c>
      <c r="X5">
        <v>0.863454599981196</v>
      </c>
      <c r="Y5" t="s">
        <v>35</v>
      </c>
      <c r="Z5">
        <v>4</v>
      </c>
      <c r="AA5">
        <v>1</v>
      </c>
      <c r="AB5" t="s">
        <v>36</v>
      </c>
      <c r="AC5" t="s">
        <v>37</v>
      </c>
      <c r="AE5" t="s">
        <v>38</v>
      </c>
      <c r="AF5">
        <v>59.989513822973798</v>
      </c>
      <c r="AG5" t="s">
        <v>39</v>
      </c>
    </row>
    <row r="6" spans="1:33" x14ac:dyDescent="0.3">
      <c r="A6" t="s">
        <v>40</v>
      </c>
      <c r="B6">
        <v>11</v>
      </c>
      <c r="C6">
        <v>30</v>
      </c>
      <c r="D6">
        <v>7</v>
      </c>
      <c r="E6">
        <v>4</v>
      </c>
      <c r="F6">
        <v>4</v>
      </c>
      <c r="G6">
        <v>0</v>
      </c>
      <c r="H6" t="s">
        <v>41</v>
      </c>
      <c r="I6">
        <v>0.387012699968181</v>
      </c>
      <c r="J6" t="s">
        <v>35</v>
      </c>
      <c r="K6">
        <v>0</v>
      </c>
      <c r="L6">
        <v>4</v>
      </c>
      <c r="M6">
        <v>4</v>
      </c>
      <c r="N6">
        <v>10</v>
      </c>
      <c r="O6">
        <v>10.196184800006399</v>
      </c>
      <c r="Q6">
        <v>10.188178500044099</v>
      </c>
      <c r="R6">
        <v>10.196184800006399</v>
      </c>
      <c r="S6">
        <v>11.179920500027899</v>
      </c>
      <c r="T6">
        <v>11.179920500027899</v>
      </c>
      <c r="U6">
        <v>11.196364999981499</v>
      </c>
      <c r="V6">
        <v>11.579832699964699</v>
      </c>
      <c r="W6" t="s">
        <v>41</v>
      </c>
      <c r="X6">
        <v>0.387012699968181</v>
      </c>
      <c r="Y6" t="s">
        <v>35</v>
      </c>
      <c r="Z6">
        <v>4</v>
      </c>
      <c r="AA6">
        <v>1</v>
      </c>
      <c r="AB6" t="s">
        <v>36</v>
      </c>
      <c r="AC6" t="s">
        <v>37</v>
      </c>
      <c r="AE6" t="s">
        <v>38</v>
      </c>
      <c r="AF6">
        <v>59.989513822973798</v>
      </c>
      <c r="AG6" t="s">
        <v>39</v>
      </c>
    </row>
    <row r="7" spans="1:33" x14ac:dyDescent="0.3">
      <c r="A7" t="s">
        <v>33</v>
      </c>
      <c r="B7">
        <v>49</v>
      </c>
      <c r="C7">
        <v>60</v>
      </c>
      <c r="D7">
        <v>89</v>
      </c>
      <c r="E7">
        <v>5</v>
      </c>
      <c r="F7">
        <v>5</v>
      </c>
      <c r="G7">
        <v>0</v>
      </c>
      <c r="H7" t="s">
        <v>34</v>
      </c>
      <c r="I7">
        <v>0.67313550005201195</v>
      </c>
      <c r="J7" t="s">
        <v>35</v>
      </c>
      <c r="K7">
        <v>0</v>
      </c>
      <c r="L7">
        <v>5</v>
      </c>
      <c r="M7">
        <v>5</v>
      </c>
      <c r="N7">
        <v>9</v>
      </c>
      <c r="O7">
        <v>11.5964177000569</v>
      </c>
      <c r="Q7">
        <v>11.5880491000134</v>
      </c>
      <c r="R7">
        <v>11.5964177000569</v>
      </c>
      <c r="S7">
        <v>12.579917900031401</v>
      </c>
      <c r="T7">
        <v>12.579917900031401</v>
      </c>
      <c r="U7">
        <v>12.59664350003</v>
      </c>
      <c r="V7">
        <v>13.2636997000081</v>
      </c>
      <c r="W7" t="s">
        <v>34</v>
      </c>
      <c r="X7">
        <v>0.67313550005201195</v>
      </c>
      <c r="Y7" t="s">
        <v>35</v>
      </c>
      <c r="Z7">
        <v>4</v>
      </c>
      <c r="AA7">
        <v>1</v>
      </c>
      <c r="AB7" t="s">
        <v>36</v>
      </c>
      <c r="AC7" t="s">
        <v>37</v>
      </c>
      <c r="AE7" t="s">
        <v>38</v>
      </c>
      <c r="AF7">
        <v>59.989513822973798</v>
      </c>
      <c r="AG7" t="s">
        <v>39</v>
      </c>
    </row>
    <row r="8" spans="1:33" x14ac:dyDescent="0.3">
      <c r="A8" t="s">
        <v>40</v>
      </c>
      <c r="B8">
        <v>15</v>
      </c>
      <c r="C8">
        <v>35</v>
      </c>
      <c r="D8">
        <v>13</v>
      </c>
      <c r="E8">
        <v>6</v>
      </c>
      <c r="F8">
        <v>6</v>
      </c>
      <c r="G8">
        <v>0</v>
      </c>
      <c r="H8" t="s">
        <v>41</v>
      </c>
      <c r="I8">
        <v>0.47881500003859401</v>
      </c>
      <c r="J8" t="s">
        <v>35</v>
      </c>
      <c r="K8">
        <v>0</v>
      </c>
      <c r="L8">
        <v>6</v>
      </c>
      <c r="M8">
        <v>6</v>
      </c>
      <c r="N8">
        <v>17</v>
      </c>
      <c r="O8">
        <v>13.279547899961401</v>
      </c>
      <c r="Q8">
        <v>13.2709651000332</v>
      </c>
      <c r="R8">
        <v>13.279547899961401</v>
      </c>
      <c r="S8">
        <v>14.263300099992099</v>
      </c>
      <c r="T8">
        <v>14.263300099992099</v>
      </c>
      <c r="U8">
        <v>14.2798273999942</v>
      </c>
      <c r="V8">
        <v>14.746867400011901</v>
      </c>
      <c r="W8" t="s">
        <v>41</v>
      </c>
      <c r="X8">
        <v>0.47881500003859401</v>
      </c>
      <c r="Y8" t="s">
        <v>35</v>
      </c>
      <c r="Z8">
        <v>4</v>
      </c>
      <c r="AA8">
        <v>1</v>
      </c>
      <c r="AB8" t="s">
        <v>36</v>
      </c>
      <c r="AC8" t="s">
        <v>37</v>
      </c>
      <c r="AE8" t="s">
        <v>38</v>
      </c>
      <c r="AF8">
        <v>59.989513822973798</v>
      </c>
      <c r="AG8" t="s">
        <v>39</v>
      </c>
    </row>
    <row r="9" spans="1:33" x14ac:dyDescent="0.3">
      <c r="A9" t="s">
        <v>33</v>
      </c>
      <c r="B9">
        <v>27</v>
      </c>
      <c r="C9">
        <v>50</v>
      </c>
      <c r="D9">
        <v>21</v>
      </c>
      <c r="E9">
        <v>7</v>
      </c>
      <c r="F9">
        <v>7</v>
      </c>
      <c r="G9">
        <v>0</v>
      </c>
      <c r="H9" t="s">
        <v>34</v>
      </c>
      <c r="I9">
        <v>0.80094380001537502</v>
      </c>
      <c r="J9" t="s">
        <v>35</v>
      </c>
      <c r="K9">
        <v>0</v>
      </c>
      <c r="L9">
        <v>7</v>
      </c>
      <c r="M9">
        <v>7</v>
      </c>
      <c r="N9">
        <v>2</v>
      </c>
      <c r="O9">
        <v>14.763177999993699</v>
      </c>
      <c r="Q9">
        <v>14.754406000021801</v>
      </c>
      <c r="R9">
        <v>14.763177999993699</v>
      </c>
      <c r="S9">
        <v>15.7466505999909</v>
      </c>
      <c r="T9">
        <v>15.7466505999909</v>
      </c>
      <c r="U9">
        <v>15.7628905000165</v>
      </c>
      <c r="V9">
        <v>16.563868700060901</v>
      </c>
      <c r="W9" t="s">
        <v>34</v>
      </c>
      <c r="X9">
        <v>0.80094380001537502</v>
      </c>
      <c r="Y9" t="s">
        <v>35</v>
      </c>
      <c r="Z9">
        <v>4</v>
      </c>
      <c r="AA9">
        <v>1</v>
      </c>
      <c r="AB9" t="s">
        <v>36</v>
      </c>
      <c r="AC9" t="s">
        <v>37</v>
      </c>
      <c r="AE9" t="s">
        <v>38</v>
      </c>
      <c r="AF9">
        <v>59.989513822973798</v>
      </c>
      <c r="AG9" t="s">
        <v>39</v>
      </c>
    </row>
    <row r="10" spans="1:33" x14ac:dyDescent="0.3">
      <c r="A10" t="s">
        <v>33</v>
      </c>
      <c r="B10">
        <v>67</v>
      </c>
      <c r="C10">
        <v>75</v>
      </c>
      <c r="D10">
        <v>119</v>
      </c>
      <c r="E10">
        <v>8</v>
      </c>
      <c r="F10">
        <v>8</v>
      </c>
      <c r="G10">
        <v>0</v>
      </c>
      <c r="H10" t="s">
        <v>34</v>
      </c>
      <c r="I10">
        <v>1.1172544000437401</v>
      </c>
      <c r="J10" t="s">
        <v>35</v>
      </c>
      <c r="K10">
        <v>0</v>
      </c>
      <c r="L10">
        <v>8</v>
      </c>
      <c r="M10">
        <v>8</v>
      </c>
      <c r="N10">
        <v>5</v>
      </c>
      <c r="O10">
        <v>16.5800134000601</v>
      </c>
      <c r="Q10">
        <v>16.572091500041999</v>
      </c>
      <c r="R10">
        <v>16.5800134000601</v>
      </c>
      <c r="S10">
        <v>17.579814100055899</v>
      </c>
      <c r="T10">
        <v>17.579814100055899</v>
      </c>
      <c r="U10">
        <v>17.579814100055899</v>
      </c>
      <c r="V10">
        <v>18.713747799978499</v>
      </c>
      <c r="W10" t="s">
        <v>34</v>
      </c>
      <c r="X10">
        <v>1.1172544000437401</v>
      </c>
      <c r="Y10" t="s">
        <v>35</v>
      </c>
      <c r="Z10">
        <v>4</v>
      </c>
      <c r="AA10">
        <v>1</v>
      </c>
      <c r="AB10" t="s">
        <v>36</v>
      </c>
      <c r="AC10" t="s">
        <v>37</v>
      </c>
      <c r="AE10" t="s">
        <v>38</v>
      </c>
      <c r="AF10">
        <v>59.989513822973798</v>
      </c>
      <c r="AG10" t="s">
        <v>39</v>
      </c>
    </row>
    <row r="11" spans="1:33" x14ac:dyDescent="0.3">
      <c r="A11" t="s">
        <v>40</v>
      </c>
      <c r="B11">
        <v>40</v>
      </c>
      <c r="C11">
        <v>55</v>
      </c>
      <c r="D11">
        <v>62</v>
      </c>
      <c r="E11">
        <v>9</v>
      </c>
      <c r="F11">
        <v>9</v>
      </c>
      <c r="G11">
        <v>0</v>
      </c>
      <c r="H11" t="s">
        <v>41</v>
      </c>
      <c r="I11">
        <v>0.67310109990648903</v>
      </c>
      <c r="J11" t="s">
        <v>35</v>
      </c>
      <c r="K11">
        <v>0</v>
      </c>
      <c r="L11">
        <v>9</v>
      </c>
      <c r="M11">
        <v>9</v>
      </c>
      <c r="N11">
        <v>18</v>
      </c>
      <c r="O11">
        <v>18.729819000000099</v>
      </c>
      <c r="Q11">
        <v>18.721855700016</v>
      </c>
      <c r="R11">
        <v>18.729819000000099</v>
      </c>
      <c r="S11">
        <v>19.7133344999747</v>
      </c>
      <c r="T11">
        <v>19.7133344999747</v>
      </c>
      <c r="U11">
        <v>19.729755199979898</v>
      </c>
      <c r="V11">
        <v>20.3967191999545</v>
      </c>
      <c r="W11" t="s">
        <v>41</v>
      </c>
      <c r="X11">
        <v>0.67310109990648903</v>
      </c>
      <c r="Y11" t="s">
        <v>35</v>
      </c>
      <c r="Z11">
        <v>4</v>
      </c>
      <c r="AA11">
        <v>1</v>
      </c>
      <c r="AB11" t="s">
        <v>36</v>
      </c>
      <c r="AC11" t="s">
        <v>37</v>
      </c>
      <c r="AE11" t="s">
        <v>38</v>
      </c>
      <c r="AF11">
        <v>59.989513822973798</v>
      </c>
      <c r="AG11" t="s">
        <v>39</v>
      </c>
    </row>
    <row r="12" spans="1:33" x14ac:dyDescent="0.3">
      <c r="A12" t="s">
        <v>40</v>
      </c>
      <c r="B12">
        <v>49</v>
      </c>
      <c r="C12">
        <v>60</v>
      </c>
      <c r="D12">
        <v>89</v>
      </c>
      <c r="E12">
        <v>10</v>
      </c>
      <c r="F12">
        <v>10</v>
      </c>
      <c r="G12">
        <v>0</v>
      </c>
      <c r="H12" t="s">
        <v>41</v>
      </c>
      <c r="I12">
        <v>0.54197070002555803</v>
      </c>
      <c r="J12" t="s">
        <v>35</v>
      </c>
      <c r="K12">
        <v>0</v>
      </c>
      <c r="L12">
        <v>10</v>
      </c>
      <c r="M12">
        <v>10</v>
      </c>
      <c r="N12">
        <v>14</v>
      </c>
      <c r="O12">
        <v>20.413469300023198</v>
      </c>
      <c r="Q12">
        <v>20.404607499949599</v>
      </c>
      <c r="R12">
        <v>20.413469300023198</v>
      </c>
      <c r="S12">
        <v>21.396525899996</v>
      </c>
      <c r="T12">
        <v>21.396525899996</v>
      </c>
      <c r="U12">
        <v>21.413172999978901</v>
      </c>
      <c r="V12">
        <v>21.947134000016302</v>
      </c>
      <c r="W12" t="s">
        <v>41</v>
      </c>
      <c r="X12">
        <v>0.54197070002555803</v>
      </c>
      <c r="Y12" t="s">
        <v>35</v>
      </c>
      <c r="Z12">
        <v>4</v>
      </c>
      <c r="AA12">
        <v>1</v>
      </c>
      <c r="AB12" t="s">
        <v>36</v>
      </c>
      <c r="AC12" t="s">
        <v>37</v>
      </c>
      <c r="AE12" t="s">
        <v>38</v>
      </c>
      <c r="AF12">
        <v>59.989513822973798</v>
      </c>
      <c r="AG12" t="s">
        <v>39</v>
      </c>
    </row>
    <row r="13" spans="1:33" x14ac:dyDescent="0.3">
      <c r="A13" t="s">
        <v>33</v>
      </c>
      <c r="B13">
        <v>40</v>
      </c>
      <c r="C13">
        <v>55</v>
      </c>
      <c r="D13">
        <v>62</v>
      </c>
      <c r="E13">
        <v>11</v>
      </c>
      <c r="F13">
        <v>11</v>
      </c>
      <c r="G13">
        <v>0</v>
      </c>
      <c r="H13" t="s">
        <v>34</v>
      </c>
      <c r="I13">
        <v>2.28626630001235</v>
      </c>
      <c r="J13" t="s">
        <v>35</v>
      </c>
      <c r="K13">
        <v>0</v>
      </c>
      <c r="L13">
        <v>11</v>
      </c>
      <c r="M13">
        <v>11</v>
      </c>
      <c r="N13">
        <v>8</v>
      </c>
      <c r="O13">
        <v>21.963204200030301</v>
      </c>
      <c r="Q13">
        <v>21.955298700020599</v>
      </c>
      <c r="R13">
        <v>21.963204200030301</v>
      </c>
      <c r="S13">
        <v>22.946397599996999</v>
      </c>
      <c r="T13">
        <v>22.946397599996999</v>
      </c>
      <c r="U13">
        <v>22.962875699973601</v>
      </c>
      <c r="V13">
        <v>25.247261899989098</v>
      </c>
      <c r="W13" t="s">
        <v>34</v>
      </c>
      <c r="X13">
        <v>2.28626630001235</v>
      </c>
      <c r="Y13" t="s">
        <v>35</v>
      </c>
      <c r="Z13">
        <v>4</v>
      </c>
      <c r="AA13">
        <v>1</v>
      </c>
      <c r="AB13" t="s">
        <v>36</v>
      </c>
      <c r="AC13" t="s">
        <v>37</v>
      </c>
      <c r="AE13" t="s">
        <v>38</v>
      </c>
      <c r="AF13">
        <v>59.989513822973798</v>
      </c>
      <c r="AG13" t="s">
        <v>39</v>
      </c>
    </row>
    <row r="14" spans="1:33" x14ac:dyDescent="0.3">
      <c r="A14" t="s">
        <v>40</v>
      </c>
      <c r="B14">
        <v>49</v>
      </c>
      <c r="C14">
        <v>60</v>
      </c>
      <c r="D14">
        <v>89</v>
      </c>
      <c r="E14">
        <v>12</v>
      </c>
      <c r="F14">
        <v>12</v>
      </c>
      <c r="G14">
        <v>0</v>
      </c>
      <c r="H14" t="s">
        <v>41</v>
      </c>
      <c r="I14">
        <v>1.5905956999631501</v>
      </c>
      <c r="J14" t="s">
        <v>35</v>
      </c>
      <c r="K14">
        <v>0</v>
      </c>
      <c r="L14">
        <v>12</v>
      </c>
      <c r="M14">
        <v>12</v>
      </c>
      <c r="N14">
        <v>19</v>
      </c>
      <c r="O14">
        <v>25.263068799977098</v>
      </c>
      <c r="Q14">
        <v>25.256401999969899</v>
      </c>
      <c r="R14">
        <v>25.263068799977098</v>
      </c>
      <c r="S14">
        <v>26.246482499991501</v>
      </c>
      <c r="T14">
        <v>26.246482499991501</v>
      </c>
      <c r="U14">
        <v>26.263117800001002</v>
      </c>
      <c r="V14">
        <v>27.846938200062102</v>
      </c>
      <c r="W14" t="s">
        <v>41</v>
      </c>
      <c r="X14">
        <v>1.5905956999631501</v>
      </c>
      <c r="Y14" t="s">
        <v>35</v>
      </c>
      <c r="Z14">
        <v>4</v>
      </c>
      <c r="AA14">
        <v>1</v>
      </c>
      <c r="AB14" t="s">
        <v>36</v>
      </c>
      <c r="AC14" t="s">
        <v>37</v>
      </c>
      <c r="AE14" t="s">
        <v>38</v>
      </c>
      <c r="AF14">
        <v>59.989513822973798</v>
      </c>
      <c r="AG14" t="s">
        <v>39</v>
      </c>
    </row>
    <row r="15" spans="1:33" x14ac:dyDescent="0.3">
      <c r="A15" t="s">
        <v>40</v>
      </c>
      <c r="B15">
        <v>27</v>
      </c>
      <c r="C15">
        <v>50</v>
      </c>
      <c r="D15">
        <v>21</v>
      </c>
      <c r="E15">
        <v>13</v>
      </c>
      <c r="F15">
        <v>13</v>
      </c>
      <c r="G15">
        <v>0</v>
      </c>
      <c r="H15" t="s">
        <v>41</v>
      </c>
      <c r="I15">
        <v>0.54940570006147005</v>
      </c>
      <c r="J15" t="s">
        <v>35</v>
      </c>
      <c r="K15">
        <v>0</v>
      </c>
      <c r="L15">
        <v>13</v>
      </c>
      <c r="M15">
        <v>13</v>
      </c>
      <c r="N15">
        <v>12</v>
      </c>
      <c r="O15">
        <v>27.862894600024401</v>
      </c>
      <c r="Q15">
        <v>27.858154200017399</v>
      </c>
      <c r="R15">
        <v>27.862894600024401</v>
      </c>
      <c r="S15">
        <v>28.846429300028799</v>
      </c>
      <c r="T15">
        <v>28.846429300028799</v>
      </c>
      <c r="U15">
        <v>28.8631392000243</v>
      </c>
      <c r="V15">
        <v>29.397123800008501</v>
      </c>
      <c r="W15" t="s">
        <v>41</v>
      </c>
      <c r="X15">
        <v>0.54940570006147005</v>
      </c>
      <c r="Y15" t="s">
        <v>35</v>
      </c>
      <c r="Z15">
        <v>4</v>
      </c>
      <c r="AA15">
        <v>1</v>
      </c>
      <c r="AB15" t="s">
        <v>36</v>
      </c>
      <c r="AC15" t="s">
        <v>37</v>
      </c>
      <c r="AE15" t="s">
        <v>38</v>
      </c>
      <c r="AF15">
        <v>59.989513822973798</v>
      </c>
      <c r="AG15" t="s">
        <v>39</v>
      </c>
    </row>
    <row r="16" spans="1:33" x14ac:dyDescent="0.3">
      <c r="A16" t="s">
        <v>40</v>
      </c>
      <c r="B16">
        <v>15</v>
      </c>
      <c r="C16">
        <v>35</v>
      </c>
      <c r="D16">
        <v>13</v>
      </c>
      <c r="E16">
        <v>14</v>
      </c>
      <c r="F16">
        <v>14</v>
      </c>
      <c r="G16">
        <v>0</v>
      </c>
      <c r="H16" t="s">
        <v>41</v>
      </c>
      <c r="I16">
        <v>0.57713480002712403</v>
      </c>
      <c r="J16" t="s">
        <v>35</v>
      </c>
      <c r="K16">
        <v>0</v>
      </c>
      <c r="L16">
        <v>14</v>
      </c>
      <c r="M16">
        <v>14</v>
      </c>
      <c r="N16">
        <v>11</v>
      </c>
      <c r="O16">
        <v>29.4131262999726</v>
      </c>
      <c r="Q16">
        <v>29.404727800050701</v>
      </c>
      <c r="R16">
        <v>29.4131262999726</v>
      </c>
      <c r="S16">
        <v>30.396427999949001</v>
      </c>
      <c r="T16">
        <v>30.396427999949001</v>
      </c>
      <c r="U16">
        <v>30.4129757999908</v>
      </c>
      <c r="V16">
        <v>30.980504699982699</v>
      </c>
      <c r="W16" t="s">
        <v>41</v>
      </c>
      <c r="X16">
        <v>0.57713480002712403</v>
      </c>
      <c r="Y16" t="s">
        <v>35</v>
      </c>
      <c r="Z16">
        <v>4</v>
      </c>
      <c r="AA16">
        <v>1</v>
      </c>
      <c r="AB16" t="s">
        <v>36</v>
      </c>
      <c r="AC16" t="s">
        <v>37</v>
      </c>
      <c r="AE16" t="s">
        <v>38</v>
      </c>
      <c r="AF16">
        <v>59.989513822973798</v>
      </c>
      <c r="AG16" t="s">
        <v>39</v>
      </c>
    </row>
    <row r="17" spans="1:33" x14ac:dyDescent="0.3">
      <c r="A17" t="s">
        <v>40</v>
      </c>
      <c r="B17">
        <v>78</v>
      </c>
      <c r="C17">
        <v>80</v>
      </c>
      <c r="D17">
        <v>162</v>
      </c>
      <c r="E17">
        <v>15</v>
      </c>
      <c r="F17">
        <v>15</v>
      </c>
      <c r="G17">
        <v>0</v>
      </c>
      <c r="H17" t="s">
        <v>41</v>
      </c>
      <c r="I17">
        <v>0.46949509996920802</v>
      </c>
      <c r="J17" t="s">
        <v>35</v>
      </c>
      <c r="K17">
        <v>0</v>
      </c>
      <c r="L17">
        <v>15</v>
      </c>
      <c r="M17">
        <v>15</v>
      </c>
      <c r="N17">
        <v>16</v>
      </c>
      <c r="O17">
        <v>31.070324499974902</v>
      </c>
      <c r="Q17">
        <v>31.068046299973499</v>
      </c>
      <c r="R17">
        <v>31.070324499974902</v>
      </c>
      <c r="S17">
        <v>31.980027999961699</v>
      </c>
      <c r="T17">
        <v>31.980027999961699</v>
      </c>
      <c r="U17">
        <v>32.080003399983902</v>
      </c>
      <c r="V17">
        <v>32.463738300022598</v>
      </c>
      <c r="W17" t="s">
        <v>41</v>
      </c>
      <c r="X17">
        <v>0.46949509996920802</v>
      </c>
      <c r="Y17" t="s">
        <v>35</v>
      </c>
      <c r="Z17">
        <v>4</v>
      </c>
      <c r="AA17">
        <v>1</v>
      </c>
      <c r="AB17" t="s">
        <v>36</v>
      </c>
      <c r="AC17" t="s">
        <v>37</v>
      </c>
      <c r="AE17" t="s">
        <v>38</v>
      </c>
      <c r="AF17">
        <v>59.989513822973798</v>
      </c>
      <c r="AG17" t="s">
        <v>39</v>
      </c>
    </row>
    <row r="18" spans="1:33" x14ac:dyDescent="0.3">
      <c r="A18" t="s">
        <v>33</v>
      </c>
      <c r="B18">
        <v>78</v>
      </c>
      <c r="C18">
        <v>80</v>
      </c>
      <c r="D18">
        <v>162</v>
      </c>
      <c r="E18">
        <v>16</v>
      </c>
      <c r="F18">
        <v>16</v>
      </c>
      <c r="G18">
        <v>0</v>
      </c>
      <c r="H18" t="s">
        <v>34</v>
      </c>
      <c r="I18">
        <v>0.74373809993267004</v>
      </c>
      <c r="J18" t="s">
        <v>35</v>
      </c>
      <c r="K18">
        <v>0</v>
      </c>
      <c r="L18">
        <v>16</v>
      </c>
      <c r="M18">
        <v>16</v>
      </c>
      <c r="N18">
        <v>6</v>
      </c>
      <c r="O18">
        <v>32.479884000029401</v>
      </c>
      <c r="Q18">
        <v>32.473355100024399</v>
      </c>
      <c r="R18">
        <v>32.479884000029401</v>
      </c>
      <c r="S18">
        <v>33.462964699952799</v>
      </c>
      <c r="T18">
        <v>33.462964699952799</v>
      </c>
      <c r="U18">
        <v>33.479546800022902</v>
      </c>
      <c r="V18">
        <v>34.213913199957403</v>
      </c>
      <c r="W18" t="s">
        <v>34</v>
      </c>
      <c r="X18">
        <v>0.74373809993267004</v>
      </c>
      <c r="Y18" t="s">
        <v>35</v>
      </c>
      <c r="Z18">
        <v>4</v>
      </c>
      <c r="AA18">
        <v>1</v>
      </c>
      <c r="AB18" t="s">
        <v>36</v>
      </c>
      <c r="AC18" t="s">
        <v>37</v>
      </c>
      <c r="AE18" t="s">
        <v>38</v>
      </c>
      <c r="AF18">
        <v>59.989513822973798</v>
      </c>
      <c r="AG18" t="s">
        <v>39</v>
      </c>
    </row>
    <row r="19" spans="1:33" x14ac:dyDescent="0.3">
      <c r="A19" t="s">
        <v>33</v>
      </c>
      <c r="B19">
        <v>40</v>
      </c>
      <c r="C19">
        <v>55</v>
      </c>
      <c r="D19">
        <v>62</v>
      </c>
      <c r="E19">
        <v>17</v>
      </c>
      <c r="F19">
        <v>17</v>
      </c>
      <c r="G19">
        <v>0</v>
      </c>
      <c r="H19" t="s">
        <v>34</v>
      </c>
      <c r="I19">
        <v>1.1166608000639799</v>
      </c>
      <c r="J19" t="s">
        <v>35</v>
      </c>
      <c r="K19">
        <v>0</v>
      </c>
      <c r="L19">
        <v>17</v>
      </c>
      <c r="M19">
        <v>17</v>
      </c>
      <c r="N19">
        <v>3</v>
      </c>
      <c r="O19">
        <v>34.229847799986601</v>
      </c>
      <c r="Q19">
        <v>34.2221400999696</v>
      </c>
      <c r="R19">
        <v>34.229847799986601</v>
      </c>
      <c r="S19">
        <v>35.213291199994202</v>
      </c>
      <c r="T19">
        <v>35.213291199994202</v>
      </c>
      <c r="U19">
        <v>35.229713500011698</v>
      </c>
      <c r="V19">
        <v>36.3309232000028</v>
      </c>
      <c r="W19" t="s">
        <v>34</v>
      </c>
      <c r="X19">
        <v>1.1166608000639799</v>
      </c>
      <c r="Y19" t="s">
        <v>35</v>
      </c>
      <c r="Z19">
        <v>4</v>
      </c>
      <c r="AA19">
        <v>1</v>
      </c>
      <c r="AB19" t="s">
        <v>36</v>
      </c>
      <c r="AC19" t="s">
        <v>37</v>
      </c>
      <c r="AE19" t="s">
        <v>38</v>
      </c>
      <c r="AF19">
        <v>59.989513822973798</v>
      </c>
      <c r="AG19" t="s">
        <v>39</v>
      </c>
    </row>
    <row r="20" spans="1:33" x14ac:dyDescent="0.3">
      <c r="A20" t="s">
        <v>33</v>
      </c>
      <c r="B20">
        <v>15</v>
      </c>
      <c r="C20">
        <v>35</v>
      </c>
      <c r="D20">
        <v>13</v>
      </c>
      <c r="E20">
        <v>18</v>
      </c>
      <c r="F20">
        <v>18</v>
      </c>
      <c r="G20">
        <v>0</v>
      </c>
      <c r="H20" t="s">
        <v>34</v>
      </c>
      <c r="I20">
        <v>0.65721899992786303</v>
      </c>
      <c r="J20" t="s">
        <v>35</v>
      </c>
      <c r="K20">
        <v>0</v>
      </c>
      <c r="L20">
        <v>18</v>
      </c>
      <c r="M20">
        <v>18</v>
      </c>
      <c r="N20">
        <v>7</v>
      </c>
      <c r="O20">
        <v>36.346511099953197</v>
      </c>
      <c r="Q20">
        <v>36.338867299957201</v>
      </c>
      <c r="R20">
        <v>36.346511099953197</v>
      </c>
      <c r="S20">
        <v>37.346382000017897</v>
      </c>
      <c r="T20">
        <v>37.346382000017897</v>
      </c>
      <c r="U20">
        <v>37.346382000017897</v>
      </c>
      <c r="V20">
        <v>38.013734900043303</v>
      </c>
      <c r="W20" t="s">
        <v>34</v>
      </c>
      <c r="X20">
        <v>0.65721899992786303</v>
      </c>
      <c r="Y20" t="s">
        <v>35</v>
      </c>
      <c r="Z20">
        <v>4</v>
      </c>
      <c r="AA20">
        <v>1</v>
      </c>
      <c r="AB20" t="s">
        <v>36</v>
      </c>
      <c r="AC20" t="s">
        <v>37</v>
      </c>
      <c r="AE20" t="s">
        <v>38</v>
      </c>
      <c r="AF20">
        <v>59.989513822973798</v>
      </c>
      <c r="AG20" t="s">
        <v>39</v>
      </c>
    </row>
    <row r="21" spans="1:33" x14ac:dyDescent="0.3">
      <c r="A21" t="s">
        <v>33</v>
      </c>
      <c r="B21">
        <v>49</v>
      </c>
      <c r="C21">
        <v>60</v>
      </c>
      <c r="D21">
        <v>89</v>
      </c>
      <c r="E21">
        <v>19</v>
      </c>
      <c r="F21">
        <v>19</v>
      </c>
      <c r="G21">
        <v>0</v>
      </c>
      <c r="H21" t="s">
        <v>34</v>
      </c>
      <c r="I21">
        <v>3.3848732999758702</v>
      </c>
      <c r="J21" t="s">
        <v>35</v>
      </c>
      <c r="K21">
        <v>0</v>
      </c>
      <c r="L21">
        <v>19</v>
      </c>
      <c r="M21">
        <v>19</v>
      </c>
      <c r="N21">
        <v>4</v>
      </c>
      <c r="O21">
        <v>38.029909100034203</v>
      </c>
      <c r="Q21">
        <v>38.021597699960601</v>
      </c>
      <c r="R21">
        <v>38.029909100034203</v>
      </c>
      <c r="S21">
        <v>39.013308500056098</v>
      </c>
      <c r="T21">
        <v>39.013308500056098</v>
      </c>
      <c r="U21">
        <v>39.029748499975497</v>
      </c>
      <c r="V21">
        <v>42.413778600050101</v>
      </c>
      <c r="W21" t="s">
        <v>34</v>
      </c>
      <c r="X21">
        <v>3.3848732999758702</v>
      </c>
      <c r="Y21" t="s">
        <v>35</v>
      </c>
      <c r="Z21">
        <v>4</v>
      </c>
      <c r="AA21">
        <v>1</v>
      </c>
      <c r="AB21" t="s">
        <v>36</v>
      </c>
      <c r="AC21" t="s">
        <v>37</v>
      </c>
      <c r="AE21" t="s">
        <v>38</v>
      </c>
      <c r="AF21">
        <v>59.989513822973798</v>
      </c>
      <c r="AG21" t="s">
        <v>39</v>
      </c>
    </row>
    <row r="22" spans="1:33" x14ac:dyDescent="0.3">
      <c r="A22" t="s">
        <v>40</v>
      </c>
      <c r="B22">
        <v>15</v>
      </c>
      <c r="C22">
        <v>35</v>
      </c>
      <c r="D22">
        <v>13</v>
      </c>
      <c r="E22">
        <v>20</v>
      </c>
      <c r="F22">
        <v>0</v>
      </c>
      <c r="G22">
        <v>1</v>
      </c>
      <c r="H22" t="s">
        <v>41</v>
      </c>
      <c r="I22">
        <v>0.77795629994943705</v>
      </c>
      <c r="J22" t="s">
        <v>35</v>
      </c>
      <c r="K22">
        <v>1</v>
      </c>
      <c r="L22">
        <v>0</v>
      </c>
      <c r="M22">
        <v>20</v>
      </c>
      <c r="N22">
        <v>11</v>
      </c>
      <c r="O22">
        <v>42.430115199996997</v>
      </c>
      <c r="Q22">
        <v>42.422095700050697</v>
      </c>
      <c r="R22">
        <v>42.430115199996997</v>
      </c>
      <c r="S22">
        <v>43.413454400026197</v>
      </c>
      <c r="T22">
        <v>43.413454400026197</v>
      </c>
      <c r="U22">
        <v>43.429614200023899</v>
      </c>
      <c r="V22">
        <v>44.197024199995198</v>
      </c>
      <c r="W22" t="s">
        <v>41</v>
      </c>
      <c r="X22">
        <v>0.77795629994943705</v>
      </c>
      <c r="Y22" t="s">
        <v>35</v>
      </c>
      <c r="Z22">
        <v>4</v>
      </c>
      <c r="AA22">
        <v>1</v>
      </c>
      <c r="AB22" t="s">
        <v>36</v>
      </c>
      <c r="AC22" t="s">
        <v>37</v>
      </c>
      <c r="AE22" t="s">
        <v>38</v>
      </c>
      <c r="AF22">
        <v>59.989513822973798</v>
      </c>
      <c r="AG22" t="s">
        <v>39</v>
      </c>
    </row>
    <row r="23" spans="1:33" x14ac:dyDescent="0.3">
      <c r="A23" t="s">
        <v>33</v>
      </c>
      <c r="B23">
        <v>49</v>
      </c>
      <c r="C23">
        <v>60</v>
      </c>
      <c r="D23">
        <v>89</v>
      </c>
      <c r="E23">
        <v>21</v>
      </c>
      <c r="F23">
        <v>1</v>
      </c>
      <c r="G23">
        <v>1</v>
      </c>
      <c r="H23" t="s">
        <v>41</v>
      </c>
      <c r="I23">
        <v>0.42189120000693903</v>
      </c>
      <c r="J23" t="s">
        <v>35</v>
      </c>
      <c r="K23">
        <v>1</v>
      </c>
      <c r="L23">
        <v>1</v>
      </c>
      <c r="M23">
        <v>21</v>
      </c>
      <c r="N23">
        <v>4</v>
      </c>
      <c r="O23">
        <v>44.213266300037503</v>
      </c>
      <c r="Q23">
        <v>44.205096099991302</v>
      </c>
      <c r="R23">
        <v>44.213266300037503</v>
      </c>
      <c r="S23">
        <v>45.196721300017003</v>
      </c>
      <c r="T23">
        <v>45.196721300017003</v>
      </c>
      <c r="U23">
        <v>45.213116300059397</v>
      </c>
      <c r="V23">
        <v>45.630605299957097</v>
      </c>
      <c r="W23" t="s">
        <v>41</v>
      </c>
      <c r="X23">
        <v>0.42189120000693903</v>
      </c>
      <c r="Y23" t="s">
        <v>35</v>
      </c>
      <c r="Z23">
        <v>4</v>
      </c>
      <c r="AA23">
        <v>1</v>
      </c>
      <c r="AB23" t="s">
        <v>36</v>
      </c>
      <c r="AC23" t="s">
        <v>37</v>
      </c>
      <c r="AE23" t="s">
        <v>38</v>
      </c>
      <c r="AF23">
        <v>59.989513822973798</v>
      </c>
      <c r="AG23" t="s">
        <v>39</v>
      </c>
    </row>
    <row r="24" spans="1:33" x14ac:dyDescent="0.3">
      <c r="A24" t="s">
        <v>40</v>
      </c>
      <c r="B24">
        <v>40</v>
      </c>
      <c r="C24">
        <v>55</v>
      </c>
      <c r="D24">
        <v>62</v>
      </c>
      <c r="E24">
        <v>22</v>
      </c>
      <c r="F24">
        <v>2</v>
      </c>
      <c r="G24">
        <v>1</v>
      </c>
      <c r="H24" t="s">
        <v>41</v>
      </c>
      <c r="I24">
        <v>0.54892700002528705</v>
      </c>
      <c r="J24" t="s">
        <v>35</v>
      </c>
      <c r="K24">
        <v>1</v>
      </c>
      <c r="L24">
        <v>2</v>
      </c>
      <c r="M24">
        <v>22</v>
      </c>
      <c r="N24">
        <v>13</v>
      </c>
      <c r="O24">
        <v>45.646295799990099</v>
      </c>
      <c r="Q24">
        <v>45.640399800031403</v>
      </c>
      <c r="R24">
        <v>45.646295799990099</v>
      </c>
      <c r="S24">
        <v>46.6299545000074</v>
      </c>
      <c r="T24">
        <v>46.6299545000074</v>
      </c>
      <c r="U24">
        <v>46.646612099953899</v>
      </c>
      <c r="V24">
        <v>47.180198000045401</v>
      </c>
      <c r="W24" t="s">
        <v>41</v>
      </c>
      <c r="X24">
        <v>0.54892700002528705</v>
      </c>
      <c r="Y24" t="s">
        <v>35</v>
      </c>
      <c r="Z24">
        <v>4</v>
      </c>
      <c r="AA24">
        <v>1</v>
      </c>
      <c r="AB24" t="s">
        <v>36</v>
      </c>
      <c r="AC24" t="s">
        <v>37</v>
      </c>
      <c r="AE24" t="s">
        <v>38</v>
      </c>
      <c r="AF24">
        <v>59.989513822973798</v>
      </c>
      <c r="AG24" t="s">
        <v>39</v>
      </c>
    </row>
    <row r="25" spans="1:33" x14ac:dyDescent="0.3">
      <c r="A25" t="s">
        <v>33</v>
      </c>
      <c r="B25">
        <v>11</v>
      </c>
      <c r="C25">
        <v>30</v>
      </c>
      <c r="D25">
        <v>7</v>
      </c>
      <c r="E25">
        <v>23</v>
      </c>
      <c r="F25">
        <v>3</v>
      </c>
      <c r="G25">
        <v>1</v>
      </c>
      <c r="H25" t="s">
        <v>34</v>
      </c>
      <c r="I25">
        <v>0.55684259999543395</v>
      </c>
      <c r="J25" t="s">
        <v>35</v>
      </c>
      <c r="K25">
        <v>1</v>
      </c>
      <c r="L25">
        <v>3</v>
      </c>
      <c r="M25">
        <v>23</v>
      </c>
      <c r="N25">
        <v>0</v>
      </c>
      <c r="O25">
        <v>47.196469799964603</v>
      </c>
      <c r="Q25">
        <v>47.187815699959103</v>
      </c>
      <c r="R25">
        <v>47.196469799964603</v>
      </c>
      <c r="S25">
        <v>48.179955400060798</v>
      </c>
      <c r="T25">
        <v>48.179955400060798</v>
      </c>
      <c r="U25">
        <v>48.196400200016797</v>
      </c>
      <c r="V25">
        <v>48.746921899961301</v>
      </c>
      <c r="W25" t="s">
        <v>34</v>
      </c>
      <c r="X25">
        <v>0.55684259999543395</v>
      </c>
      <c r="Y25" t="s">
        <v>35</v>
      </c>
      <c r="Z25">
        <v>4</v>
      </c>
      <c r="AA25">
        <v>1</v>
      </c>
      <c r="AB25" t="s">
        <v>36</v>
      </c>
      <c r="AC25" t="s">
        <v>37</v>
      </c>
      <c r="AE25" t="s">
        <v>38</v>
      </c>
      <c r="AF25">
        <v>59.989513822973798</v>
      </c>
      <c r="AG25" t="s">
        <v>39</v>
      </c>
    </row>
    <row r="26" spans="1:33" x14ac:dyDescent="0.3">
      <c r="A26" t="s">
        <v>33</v>
      </c>
      <c r="B26">
        <v>27</v>
      </c>
      <c r="C26">
        <v>50</v>
      </c>
      <c r="D26">
        <v>21</v>
      </c>
      <c r="E26">
        <v>24</v>
      </c>
      <c r="F26">
        <v>4</v>
      </c>
      <c r="G26">
        <v>1</v>
      </c>
      <c r="H26" t="s">
        <v>34</v>
      </c>
      <c r="I26">
        <v>1.64757239993195</v>
      </c>
      <c r="J26" t="s">
        <v>35</v>
      </c>
      <c r="K26">
        <v>1</v>
      </c>
      <c r="L26">
        <v>4</v>
      </c>
      <c r="M26">
        <v>24</v>
      </c>
      <c r="N26">
        <v>2</v>
      </c>
      <c r="O26">
        <v>48.7628625000361</v>
      </c>
      <c r="Q26">
        <v>48.757125600008202</v>
      </c>
      <c r="R26">
        <v>48.7628625000361</v>
      </c>
      <c r="S26">
        <v>49.746270100003997</v>
      </c>
      <c r="T26">
        <v>49.746270100003997</v>
      </c>
      <c r="U26">
        <v>49.763236699975003</v>
      </c>
      <c r="V26">
        <v>51.397036800044503</v>
      </c>
      <c r="W26" t="s">
        <v>34</v>
      </c>
      <c r="X26">
        <v>1.64757239993195</v>
      </c>
      <c r="Y26" t="s">
        <v>35</v>
      </c>
      <c r="Z26">
        <v>4</v>
      </c>
      <c r="AA26">
        <v>1</v>
      </c>
      <c r="AB26" t="s">
        <v>36</v>
      </c>
      <c r="AC26" t="s">
        <v>37</v>
      </c>
      <c r="AE26" t="s">
        <v>38</v>
      </c>
      <c r="AF26">
        <v>59.989513822973798</v>
      </c>
      <c r="AG26" t="s">
        <v>39</v>
      </c>
    </row>
    <row r="27" spans="1:33" x14ac:dyDescent="0.3">
      <c r="A27" t="s">
        <v>40</v>
      </c>
      <c r="B27">
        <v>11</v>
      </c>
      <c r="C27">
        <v>30</v>
      </c>
      <c r="D27">
        <v>7</v>
      </c>
      <c r="E27">
        <v>25</v>
      </c>
      <c r="F27">
        <v>5</v>
      </c>
      <c r="G27">
        <v>1</v>
      </c>
      <c r="H27" t="s">
        <v>41</v>
      </c>
      <c r="I27">
        <v>2.0807922000531098</v>
      </c>
      <c r="J27" t="s">
        <v>35</v>
      </c>
      <c r="K27">
        <v>1</v>
      </c>
      <c r="L27">
        <v>5</v>
      </c>
      <c r="M27">
        <v>25</v>
      </c>
      <c r="N27">
        <v>10</v>
      </c>
      <c r="O27">
        <v>51.413265399983999</v>
      </c>
      <c r="Q27">
        <v>51.405499899992698</v>
      </c>
      <c r="R27">
        <v>51.413265399983999</v>
      </c>
      <c r="S27">
        <v>52.396389700006601</v>
      </c>
      <c r="T27">
        <v>52.396389700006601</v>
      </c>
      <c r="U27">
        <v>52.413168100058101</v>
      </c>
      <c r="V27">
        <v>54.480372100020702</v>
      </c>
      <c r="W27" t="s">
        <v>41</v>
      </c>
      <c r="X27">
        <v>2.0807922000531098</v>
      </c>
      <c r="Y27" t="s">
        <v>35</v>
      </c>
      <c r="Z27">
        <v>4</v>
      </c>
      <c r="AA27">
        <v>1</v>
      </c>
      <c r="AB27" t="s">
        <v>36</v>
      </c>
      <c r="AC27" t="s">
        <v>37</v>
      </c>
      <c r="AE27" t="s">
        <v>38</v>
      </c>
      <c r="AF27">
        <v>59.989513822973798</v>
      </c>
      <c r="AG27" t="s">
        <v>39</v>
      </c>
    </row>
    <row r="28" spans="1:33" x14ac:dyDescent="0.3">
      <c r="A28" t="s">
        <v>40</v>
      </c>
      <c r="B28">
        <v>67</v>
      </c>
      <c r="C28">
        <v>75</v>
      </c>
      <c r="D28">
        <v>119</v>
      </c>
      <c r="E28">
        <v>26</v>
      </c>
      <c r="F28">
        <v>6</v>
      </c>
      <c r="G28">
        <v>1</v>
      </c>
      <c r="H28" t="s">
        <v>41</v>
      </c>
      <c r="I28">
        <v>0.55434349994175103</v>
      </c>
      <c r="J28" t="s">
        <v>35</v>
      </c>
      <c r="K28">
        <v>1</v>
      </c>
      <c r="L28">
        <v>6</v>
      </c>
      <c r="M28">
        <v>26</v>
      </c>
      <c r="N28">
        <v>15</v>
      </c>
      <c r="O28">
        <v>54.496544699999497</v>
      </c>
      <c r="Q28">
        <v>54.489121100050397</v>
      </c>
      <c r="R28">
        <v>54.496544699999497</v>
      </c>
      <c r="S28">
        <v>55.480490699992501</v>
      </c>
      <c r="T28">
        <v>55.480490699992501</v>
      </c>
      <c r="U28">
        <v>55.496368300053199</v>
      </c>
      <c r="V28">
        <v>56.047311699949198</v>
      </c>
      <c r="W28" t="s">
        <v>41</v>
      </c>
      <c r="X28">
        <v>0.55434349994175103</v>
      </c>
      <c r="Y28" t="s">
        <v>35</v>
      </c>
      <c r="Z28">
        <v>4</v>
      </c>
      <c r="AA28">
        <v>1</v>
      </c>
      <c r="AB28" t="s">
        <v>36</v>
      </c>
      <c r="AC28" t="s">
        <v>37</v>
      </c>
      <c r="AE28" t="s">
        <v>38</v>
      </c>
      <c r="AF28">
        <v>59.989513822973798</v>
      </c>
      <c r="AG28" t="s">
        <v>39</v>
      </c>
    </row>
    <row r="29" spans="1:33" x14ac:dyDescent="0.3">
      <c r="A29" t="s">
        <v>40</v>
      </c>
      <c r="B29">
        <v>40</v>
      </c>
      <c r="C29">
        <v>55</v>
      </c>
      <c r="D29">
        <v>62</v>
      </c>
      <c r="E29">
        <v>27</v>
      </c>
      <c r="F29">
        <v>7</v>
      </c>
      <c r="G29">
        <v>1</v>
      </c>
      <c r="H29" t="s">
        <v>41</v>
      </c>
      <c r="I29">
        <v>0.76364010001998395</v>
      </c>
      <c r="J29" t="s">
        <v>35</v>
      </c>
      <c r="K29">
        <v>1</v>
      </c>
      <c r="L29">
        <v>7</v>
      </c>
      <c r="M29">
        <v>27</v>
      </c>
      <c r="N29">
        <v>18</v>
      </c>
      <c r="O29">
        <v>56.0632287999615</v>
      </c>
      <c r="Q29">
        <v>56.0559482000535</v>
      </c>
      <c r="R29">
        <v>56.0632287999615</v>
      </c>
      <c r="S29">
        <v>57.046444299980003</v>
      </c>
      <c r="T29">
        <v>57.046444299980003</v>
      </c>
      <c r="U29">
        <v>57.063402700005099</v>
      </c>
      <c r="V29">
        <v>57.813788600033099</v>
      </c>
      <c r="W29" t="s">
        <v>41</v>
      </c>
      <c r="X29">
        <v>0.76364010001998395</v>
      </c>
      <c r="Y29" t="s">
        <v>35</v>
      </c>
      <c r="Z29">
        <v>4</v>
      </c>
      <c r="AA29">
        <v>1</v>
      </c>
      <c r="AB29" t="s">
        <v>36</v>
      </c>
      <c r="AC29" t="s">
        <v>37</v>
      </c>
      <c r="AE29" t="s">
        <v>38</v>
      </c>
      <c r="AF29">
        <v>59.989513822973798</v>
      </c>
      <c r="AG29" t="s">
        <v>39</v>
      </c>
    </row>
    <row r="30" spans="1:33" x14ac:dyDescent="0.3">
      <c r="A30" t="s">
        <v>40</v>
      </c>
      <c r="B30">
        <v>78</v>
      </c>
      <c r="C30">
        <v>80</v>
      </c>
      <c r="D30">
        <v>162</v>
      </c>
      <c r="E30">
        <v>28</v>
      </c>
      <c r="F30">
        <v>8</v>
      </c>
      <c r="G30">
        <v>1</v>
      </c>
      <c r="H30" t="s">
        <v>41</v>
      </c>
      <c r="I30">
        <v>0.94319989997893505</v>
      </c>
      <c r="J30" t="s">
        <v>35</v>
      </c>
      <c r="K30">
        <v>1</v>
      </c>
      <c r="L30">
        <v>8</v>
      </c>
      <c r="M30">
        <v>28</v>
      </c>
      <c r="N30">
        <v>16</v>
      </c>
      <c r="O30">
        <v>57.829931300017002</v>
      </c>
      <c r="Q30">
        <v>57.824437599978403</v>
      </c>
      <c r="R30">
        <v>57.829931300017002</v>
      </c>
      <c r="S30">
        <v>58.829755099955896</v>
      </c>
      <c r="T30">
        <v>58.829755099955896</v>
      </c>
      <c r="U30">
        <v>58.829755099955896</v>
      </c>
      <c r="V30">
        <v>59.780899100005598</v>
      </c>
      <c r="W30" t="s">
        <v>41</v>
      </c>
      <c r="X30">
        <v>0.94319989997893505</v>
      </c>
      <c r="Y30" t="s">
        <v>35</v>
      </c>
      <c r="Z30">
        <v>4</v>
      </c>
      <c r="AA30">
        <v>1</v>
      </c>
      <c r="AB30" t="s">
        <v>36</v>
      </c>
      <c r="AC30" t="s">
        <v>37</v>
      </c>
      <c r="AE30" t="s">
        <v>38</v>
      </c>
      <c r="AF30">
        <v>59.989513822973798</v>
      </c>
      <c r="AG30" t="s">
        <v>39</v>
      </c>
    </row>
    <row r="31" spans="1:33" x14ac:dyDescent="0.3">
      <c r="A31" t="s">
        <v>33</v>
      </c>
      <c r="B31">
        <v>40</v>
      </c>
      <c r="C31">
        <v>55</v>
      </c>
      <c r="D31">
        <v>62</v>
      </c>
      <c r="E31">
        <v>29</v>
      </c>
      <c r="F31">
        <v>9</v>
      </c>
      <c r="G31">
        <v>1</v>
      </c>
      <c r="H31" t="s">
        <v>34</v>
      </c>
      <c r="I31">
        <v>2.33238860010169</v>
      </c>
      <c r="J31" t="s">
        <v>35</v>
      </c>
      <c r="K31">
        <v>1</v>
      </c>
      <c r="L31">
        <v>9</v>
      </c>
      <c r="M31">
        <v>29</v>
      </c>
      <c r="N31">
        <v>8</v>
      </c>
      <c r="O31">
        <v>59.796472899965003</v>
      </c>
      <c r="Q31">
        <v>59.789347599959001</v>
      </c>
      <c r="R31">
        <v>59.796472899965003</v>
      </c>
      <c r="S31">
        <v>60.7800451000221</v>
      </c>
      <c r="T31">
        <v>60.7800451000221</v>
      </c>
      <c r="U31">
        <v>60.796424100058999</v>
      </c>
      <c r="V31">
        <v>63.113721900037397</v>
      </c>
      <c r="W31" t="s">
        <v>34</v>
      </c>
      <c r="X31">
        <v>2.33238860010169</v>
      </c>
      <c r="Y31" t="s">
        <v>35</v>
      </c>
      <c r="Z31">
        <v>4</v>
      </c>
      <c r="AA31">
        <v>1</v>
      </c>
      <c r="AB31" t="s">
        <v>36</v>
      </c>
      <c r="AC31" t="s">
        <v>37</v>
      </c>
      <c r="AE31" t="s">
        <v>38</v>
      </c>
      <c r="AF31">
        <v>59.989513822973798</v>
      </c>
      <c r="AG31" t="s">
        <v>39</v>
      </c>
    </row>
    <row r="32" spans="1:33" x14ac:dyDescent="0.3">
      <c r="A32" t="s">
        <v>40</v>
      </c>
      <c r="B32">
        <v>27</v>
      </c>
      <c r="C32">
        <v>50</v>
      </c>
      <c r="D32">
        <v>21</v>
      </c>
      <c r="E32">
        <v>30</v>
      </c>
      <c r="F32">
        <v>10</v>
      </c>
      <c r="G32">
        <v>1</v>
      </c>
      <c r="H32" t="s">
        <v>34</v>
      </c>
      <c r="I32">
        <v>3.0295467000687402</v>
      </c>
      <c r="J32" t="s">
        <v>35</v>
      </c>
      <c r="K32">
        <v>1</v>
      </c>
      <c r="L32">
        <v>10</v>
      </c>
      <c r="M32">
        <v>30</v>
      </c>
      <c r="N32">
        <v>12</v>
      </c>
      <c r="O32">
        <v>63.129814499989102</v>
      </c>
      <c r="Q32">
        <v>63.123390999971797</v>
      </c>
      <c r="R32">
        <v>63.129814499989102</v>
      </c>
      <c r="S32">
        <v>64.1133274000603</v>
      </c>
      <c r="T32">
        <v>64.1133274000603</v>
      </c>
      <c r="U32">
        <v>64.1299568000249</v>
      </c>
      <c r="V32">
        <v>67.147051000036299</v>
      </c>
      <c r="W32" t="s">
        <v>34</v>
      </c>
      <c r="X32">
        <v>3.0295467000687402</v>
      </c>
      <c r="Y32" t="s">
        <v>35</v>
      </c>
      <c r="Z32">
        <v>4</v>
      </c>
      <c r="AA32">
        <v>1</v>
      </c>
      <c r="AB32" t="s">
        <v>36</v>
      </c>
      <c r="AC32" t="s">
        <v>37</v>
      </c>
      <c r="AE32" t="s">
        <v>38</v>
      </c>
      <c r="AF32">
        <v>59.989513822973798</v>
      </c>
      <c r="AG32" t="s">
        <v>39</v>
      </c>
    </row>
    <row r="33" spans="1:33" x14ac:dyDescent="0.3">
      <c r="A33" t="s">
        <v>33</v>
      </c>
      <c r="B33">
        <v>78</v>
      </c>
      <c r="C33">
        <v>80</v>
      </c>
      <c r="D33">
        <v>162</v>
      </c>
      <c r="E33">
        <v>31</v>
      </c>
      <c r="F33">
        <v>11</v>
      </c>
      <c r="G33">
        <v>1</v>
      </c>
      <c r="H33" t="s">
        <v>34</v>
      </c>
      <c r="I33">
        <v>2.47200700000394</v>
      </c>
      <c r="J33" t="s">
        <v>35</v>
      </c>
      <c r="K33">
        <v>1</v>
      </c>
      <c r="L33">
        <v>11</v>
      </c>
      <c r="M33">
        <v>31</v>
      </c>
      <c r="N33">
        <v>6</v>
      </c>
      <c r="O33">
        <v>67.163282900000894</v>
      </c>
      <c r="Q33">
        <v>67.156417199992504</v>
      </c>
      <c r="R33">
        <v>67.163282900000894</v>
      </c>
      <c r="S33">
        <v>68.146622600033794</v>
      </c>
      <c r="T33">
        <v>68.146622600033794</v>
      </c>
      <c r="U33">
        <v>68.163397800060906</v>
      </c>
      <c r="V33">
        <v>70.630695000057997</v>
      </c>
      <c r="W33" t="s">
        <v>34</v>
      </c>
      <c r="X33">
        <v>2.47200700000394</v>
      </c>
      <c r="Y33" t="s">
        <v>35</v>
      </c>
      <c r="Z33">
        <v>4</v>
      </c>
      <c r="AA33">
        <v>1</v>
      </c>
      <c r="AB33" t="s">
        <v>36</v>
      </c>
      <c r="AC33" t="s">
        <v>37</v>
      </c>
      <c r="AE33" t="s">
        <v>38</v>
      </c>
      <c r="AF33">
        <v>59.989513822973798</v>
      </c>
      <c r="AG33" t="s">
        <v>39</v>
      </c>
    </row>
    <row r="34" spans="1:33" x14ac:dyDescent="0.3">
      <c r="A34" t="s">
        <v>33</v>
      </c>
      <c r="B34">
        <v>40</v>
      </c>
      <c r="C34">
        <v>55</v>
      </c>
      <c r="D34">
        <v>62</v>
      </c>
      <c r="E34">
        <v>32</v>
      </c>
      <c r="F34">
        <v>12</v>
      </c>
      <c r="G34">
        <v>1</v>
      </c>
      <c r="H34" t="s">
        <v>34</v>
      </c>
      <c r="I34">
        <v>0.51567090000025895</v>
      </c>
      <c r="J34" t="s">
        <v>35</v>
      </c>
      <c r="K34">
        <v>1</v>
      </c>
      <c r="L34">
        <v>12</v>
      </c>
      <c r="M34">
        <v>32</v>
      </c>
      <c r="N34">
        <v>3</v>
      </c>
      <c r="O34">
        <v>70.646422300022095</v>
      </c>
      <c r="Q34">
        <v>70.639566799975</v>
      </c>
      <c r="R34">
        <v>70.646422300022095</v>
      </c>
      <c r="S34">
        <v>71.6301614999538</v>
      </c>
      <c r="T34">
        <v>71.6301614999538</v>
      </c>
      <c r="U34">
        <v>71.646368199959397</v>
      </c>
      <c r="V34">
        <v>72.147385200019897</v>
      </c>
      <c r="W34" t="s">
        <v>34</v>
      </c>
      <c r="X34">
        <v>0.51567090000025895</v>
      </c>
      <c r="Y34" t="s">
        <v>35</v>
      </c>
      <c r="Z34">
        <v>4</v>
      </c>
      <c r="AA34">
        <v>1</v>
      </c>
      <c r="AB34" t="s">
        <v>36</v>
      </c>
      <c r="AC34" t="s">
        <v>37</v>
      </c>
      <c r="AE34" t="s">
        <v>38</v>
      </c>
      <c r="AF34">
        <v>59.989513822973798</v>
      </c>
      <c r="AG34" t="s">
        <v>39</v>
      </c>
    </row>
    <row r="35" spans="1:33" x14ac:dyDescent="0.3">
      <c r="A35" t="s">
        <v>33</v>
      </c>
      <c r="B35">
        <v>67</v>
      </c>
      <c r="C35">
        <v>75</v>
      </c>
      <c r="D35">
        <v>119</v>
      </c>
      <c r="E35">
        <v>33</v>
      </c>
      <c r="F35">
        <v>13</v>
      </c>
      <c r="G35">
        <v>1</v>
      </c>
      <c r="H35" t="s">
        <v>34</v>
      </c>
      <c r="I35">
        <v>0.58458129991777197</v>
      </c>
      <c r="J35" t="s">
        <v>35</v>
      </c>
      <c r="K35">
        <v>1</v>
      </c>
      <c r="L35">
        <v>13</v>
      </c>
      <c r="M35">
        <v>33</v>
      </c>
      <c r="N35">
        <v>5</v>
      </c>
      <c r="O35">
        <v>72.163243700051595</v>
      </c>
      <c r="Q35">
        <v>72.155129499966193</v>
      </c>
      <c r="R35">
        <v>72.163243700051595</v>
      </c>
      <c r="S35">
        <v>73.146546800038706</v>
      </c>
      <c r="T35">
        <v>73.146546800038706</v>
      </c>
      <c r="U35">
        <v>73.163227700046207</v>
      </c>
      <c r="V35">
        <v>73.747110399999599</v>
      </c>
      <c r="W35" t="s">
        <v>34</v>
      </c>
      <c r="X35">
        <v>0.58458129991777197</v>
      </c>
      <c r="Y35" t="s">
        <v>35</v>
      </c>
      <c r="Z35">
        <v>4</v>
      </c>
      <c r="AA35">
        <v>1</v>
      </c>
      <c r="AB35" t="s">
        <v>36</v>
      </c>
      <c r="AC35" t="s">
        <v>37</v>
      </c>
      <c r="AE35" t="s">
        <v>38</v>
      </c>
      <c r="AF35">
        <v>59.989513822973798</v>
      </c>
      <c r="AG35" t="s">
        <v>39</v>
      </c>
    </row>
    <row r="36" spans="1:33" x14ac:dyDescent="0.3">
      <c r="A36" t="s">
        <v>40</v>
      </c>
      <c r="B36">
        <v>49</v>
      </c>
      <c r="C36">
        <v>60</v>
      </c>
      <c r="D36">
        <v>89</v>
      </c>
      <c r="E36">
        <v>34</v>
      </c>
      <c r="F36">
        <v>14</v>
      </c>
      <c r="G36">
        <v>1</v>
      </c>
      <c r="H36" t="s">
        <v>41</v>
      </c>
      <c r="I36">
        <v>0.62893559993244696</v>
      </c>
      <c r="J36" t="s">
        <v>35</v>
      </c>
      <c r="K36">
        <v>1</v>
      </c>
      <c r="L36">
        <v>14</v>
      </c>
      <c r="M36">
        <v>34</v>
      </c>
      <c r="N36">
        <v>14</v>
      </c>
      <c r="O36">
        <v>73.763295099954107</v>
      </c>
      <c r="Q36">
        <v>73.756269400007994</v>
      </c>
      <c r="R36">
        <v>73.763295099954107</v>
      </c>
      <c r="S36">
        <v>74.746580000035394</v>
      </c>
      <c r="T36">
        <v>74.746580000035394</v>
      </c>
      <c r="U36">
        <v>74.763329399982396</v>
      </c>
      <c r="V36">
        <v>75.380640099989193</v>
      </c>
      <c r="W36" t="s">
        <v>41</v>
      </c>
      <c r="X36">
        <v>0.62893559993244696</v>
      </c>
      <c r="Y36" t="s">
        <v>35</v>
      </c>
      <c r="Z36">
        <v>4</v>
      </c>
      <c r="AA36">
        <v>1</v>
      </c>
      <c r="AB36" t="s">
        <v>36</v>
      </c>
      <c r="AC36" t="s">
        <v>37</v>
      </c>
      <c r="AE36" t="s">
        <v>38</v>
      </c>
      <c r="AF36">
        <v>59.989513822973798</v>
      </c>
      <c r="AG36" t="s">
        <v>39</v>
      </c>
    </row>
    <row r="37" spans="1:33" x14ac:dyDescent="0.3">
      <c r="A37" t="s">
        <v>40</v>
      </c>
      <c r="B37">
        <v>49</v>
      </c>
      <c r="C37">
        <v>60</v>
      </c>
      <c r="D37">
        <v>89</v>
      </c>
      <c r="E37">
        <v>35</v>
      </c>
      <c r="F37">
        <v>15</v>
      </c>
      <c r="G37">
        <v>1</v>
      </c>
      <c r="H37" t="s">
        <v>41</v>
      </c>
      <c r="I37">
        <v>4.37287019996438</v>
      </c>
      <c r="J37" t="s">
        <v>35</v>
      </c>
      <c r="K37">
        <v>1</v>
      </c>
      <c r="L37">
        <v>15</v>
      </c>
      <c r="M37">
        <v>35</v>
      </c>
      <c r="N37">
        <v>19</v>
      </c>
      <c r="O37">
        <v>75.3965263999998</v>
      </c>
      <c r="Q37">
        <v>75.3809900999767</v>
      </c>
      <c r="R37">
        <v>75.3965263999998</v>
      </c>
      <c r="S37">
        <v>76.380003700032802</v>
      </c>
      <c r="T37">
        <v>76.380003700032802</v>
      </c>
      <c r="U37">
        <v>76.396445099962804</v>
      </c>
      <c r="V37">
        <v>80.764020000002304</v>
      </c>
      <c r="W37" t="s">
        <v>41</v>
      </c>
      <c r="X37">
        <v>4.37287019996438</v>
      </c>
      <c r="Y37" t="s">
        <v>35</v>
      </c>
      <c r="Z37">
        <v>4</v>
      </c>
      <c r="AA37">
        <v>1</v>
      </c>
      <c r="AB37" t="s">
        <v>36</v>
      </c>
      <c r="AC37" t="s">
        <v>37</v>
      </c>
      <c r="AE37" t="s">
        <v>38</v>
      </c>
      <c r="AF37">
        <v>59.989513822973798</v>
      </c>
      <c r="AG37" t="s">
        <v>39</v>
      </c>
    </row>
    <row r="38" spans="1:33" x14ac:dyDescent="0.3">
      <c r="A38" t="s">
        <v>33</v>
      </c>
      <c r="B38">
        <v>49</v>
      </c>
      <c r="C38">
        <v>60</v>
      </c>
      <c r="D38">
        <v>89</v>
      </c>
      <c r="E38">
        <v>36</v>
      </c>
      <c r="F38">
        <v>16</v>
      </c>
      <c r="G38">
        <v>1</v>
      </c>
      <c r="H38" t="s">
        <v>34</v>
      </c>
      <c r="I38">
        <v>0.70679149997886204</v>
      </c>
      <c r="J38" t="s">
        <v>35</v>
      </c>
      <c r="K38">
        <v>1</v>
      </c>
      <c r="L38">
        <v>16</v>
      </c>
      <c r="M38">
        <v>36</v>
      </c>
      <c r="N38">
        <v>9</v>
      </c>
      <c r="O38">
        <v>80.780005799955603</v>
      </c>
      <c r="Q38">
        <v>80.772236500051804</v>
      </c>
      <c r="R38">
        <v>80.780005799955603</v>
      </c>
      <c r="S38">
        <v>81.763348600012193</v>
      </c>
      <c r="T38">
        <v>81.763348600012193</v>
      </c>
      <c r="U38">
        <v>81.779658899991702</v>
      </c>
      <c r="V38">
        <v>82.480361600057194</v>
      </c>
      <c r="W38" t="s">
        <v>34</v>
      </c>
      <c r="X38">
        <v>0.70679149997886204</v>
      </c>
      <c r="Y38" t="s">
        <v>35</v>
      </c>
      <c r="Z38">
        <v>4</v>
      </c>
      <c r="AA38">
        <v>1</v>
      </c>
      <c r="AB38" t="s">
        <v>36</v>
      </c>
      <c r="AC38" t="s">
        <v>37</v>
      </c>
      <c r="AE38" t="s">
        <v>38</v>
      </c>
      <c r="AF38">
        <v>59.989513822973798</v>
      </c>
      <c r="AG38" t="s">
        <v>39</v>
      </c>
    </row>
    <row r="39" spans="1:33" x14ac:dyDescent="0.3">
      <c r="A39" t="s">
        <v>33</v>
      </c>
      <c r="B39">
        <v>15</v>
      </c>
      <c r="C39">
        <v>35</v>
      </c>
      <c r="D39">
        <v>13</v>
      </c>
      <c r="E39">
        <v>37</v>
      </c>
      <c r="F39">
        <v>17</v>
      </c>
      <c r="G39">
        <v>1</v>
      </c>
      <c r="H39" t="s">
        <v>34</v>
      </c>
      <c r="I39">
        <v>1.9249805998988401</v>
      </c>
      <c r="J39" t="s">
        <v>35</v>
      </c>
      <c r="K39">
        <v>1</v>
      </c>
      <c r="L39">
        <v>17</v>
      </c>
      <c r="M39">
        <v>37</v>
      </c>
      <c r="N39">
        <v>1</v>
      </c>
      <c r="O39">
        <v>82.496654200018298</v>
      </c>
      <c r="Q39">
        <v>82.4885507000144</v>
      </c>
      <c r="R39">
        <v>82.496654200018298</v>
      </c>
      <c r="S39">
        <v>83.479750100057501</v>
      </c>
      <c r="T39">
        <v>83.479750100057501</v>
      </c>
      <c r="U39">
        <v>83.496256000013005</v>
      </c>
      <c r="V39">
        <v>85.413971000001695</v>
      </c>
      <c r="W39" t="s">
        <v>34</v>
      </c>
      <c r="X39">
        <v>1.9249805998988401</v>
      </c>
      <c r="Y39" t="s">
        <v>35</v>
      </c>
      <c r="Z39">
        <v>4</v>
      </c>
      <c r="AA39">
        <v>1</v>
      </c>
      <c r="AB39" t="s">
        <v>36</v>
      </c>
      <c r="AC39" t="s">
        <v>37</v>
      </c>
      <c r="AE39" t="s">
        <v>38</v>
      </c>
      <c r="AF39">
        <v>59.989513822973798</v>
      </c>
      <c r="AG39" t="s">
        <v>39</v>
      </c>
    </row>
    <row r="40" spans="1:33" x14ac:dyDescent="0.3">
      <c r="A40" t="s">
        <v>40</v>
      </c>
      <c r="B40">
        <v>15</v>
      </c>
      <c r="C40">
        <v>35</v>
      </c>
      <c r="D40">
        <v>13</v>
      </c>
      <c r="E40">
        <v>38</v>
      </c>
      <c r="F40">
        <v>18</v>
      </c>
      <c r="G40">
        <v>1</v>
      </c>
      <c r="H40" t="s">
        <v>41</v>
      </c>
      <c r="I40">
        <v>1.3377821999602</v>
      </c>
      <c r="J40" t="s">
        <v>35</v>
      </c>
      <c r="K40">
        <v>1</v>
      </c>
      <c r="L40">
        <v>18</v>
      </c>
      <c r="M40">
        <v>38</v>
      </c>
      <c r="N40">
        <v>17</v>
      </c>
      <c r="O40">
        <v>85.430269400007006</v>
      </c>
      <c r="Q40">
        <v>85.4262693000491</v>
      </c>
      <c r="R40">
        <v>85.430269400007006</v>
      </c>
      <c r="S40">
        <v>86.413330200011799</v>
      </c>
      <c r="T40">
        <v>86.413330200011799</v>
      </c>
      <c r="U40">
        <v>86.429933700012</v>
      </c>
      <c r="V40">
        <v>87.762896300060603</v>
      </c>
      <c r="W40" t="s">
        <v>41</v>
      </c>
      <c r="X40">
        <v>1.3377821999602</v>
      </c>
      <c r="Y40" t="s">
        <v>35</v>
      </c>
      <c r="Z40">
        <v>4</v>
      </c>
      <c r="AA40">
        <v>1</v>
      </c>
      <c r="AB40" t="s">
        <v>36</v>
      </c>
      <c r="AC40" t="s">
        <v>37</v>
      </c>
      <c r="AE40" t="s">
        <v>38</v>
      </c>
      <c r="AF40">
        <v>59.989513822973798</v>
      </c>
      <c r="AG40" t="s">
        <v>39</v>
      </c>
    </row>
    <row r="41" spans="1:33" x14ac:dyDescent="0.3">
      <c r="A41" t="s">
        <v>33</v>
      </c>
      <c r="B41">
        <v>15</v>
      </c>
      <c r="C41">
        <v>35</v>
      </c>
      <c r="D41">
        <v>13</v>
      </c>
      <c r="E41">
        <v>39</v>
      </c>
      <c r="F41">
        <v>19</v>
      </c>
      <c r="G41">
        <v>1</v>
      </c>
      <c r="H41" t="s">
        <v>34</v>
      </c>
      <c r="I41">
        <v>1.69925689999945</v>
      </c>
      <c r="J41" t="s">
        <v>35</v>
      </c>
      <c r="K41">
        <v>1</v>
      </c>
      <c r="L41">
        <v>19</v>
      </c>
      <c r="M41">
        <v>39</v>
      </c>
      <c r="N41">
        <v>7</v>
      </c>
      <c r="O41">
        <v>87.779377700062398</v>
      </c>
      <c r="Q41">
        <v>87.766392400022596</v>
      </c>
      <c r="R41">
        <v>87.779377700062398</v>
      </c>
      <c r="S41">
        <v>88.763225100003098</v>
      </c>
      <c r="T41">
        <v>88.763225100003098</v>
      </c>
      <c r="U41">
        <v>88.779968100017797</v>
      </c>
      <c r="V41">
        <v>90.463951100013205</v>
      </c>
      <c r="W41" t="s">
        <v>34</v>
      </c>
      <c r="X41">
        <v>1.69925689999945</v>
      </c>
      <c r="Y41" t="s">
        <v>35</v>
      </c>
      <c r="Z41">
        <v>4</v>
      </c>
      <c r="AA41">
        <v>1</v>
      </c>
      <c r="AB41" t="s">
        <v>36</v>
      </c>
      <c r="AC41" t="s">
        <v>37</v>
      </c>
      <c r="AE41" t="s">
        <v>38</v>
      </c>
      <c r="AF41">
        <v>59.989513822973798</v>
      </c>
      <c r="AG41" t="s">
        <v>39</v>
      </c>
    </row>
    <row r="42" spans="1:33" x14ac:dyDescent="0.3">
      <c r="A42" t="s">
        <v>40</v>
      </c>
      <c r="B42">
        <v>15</v>
      </c>
      <c r="C42">
        <v>35</v>
      </c>
      <c r="D42">
        <v>13</v>
      </c>
      <c r="E42">
        <v>40</v>
      </c>
      <c r="F42">
        <v>0</v>
      </c>
      <c r="G42">
        <v>2</v>
      </c>
      <c r="H42" t="s">
        <v>41</v>
      </c>
      <c r="I42">
        <v>0.50227749999612503</v>
      </c>
      <c r="J42" t="s">
        <v>35</v>
      </c>
      <c r="K42">
        <v>2</v>
      </c>
      <c r="L42">
        <v>0</v>
      </c>
      <c r="M42">
        <v>40</v>
      </c>
      <c r="N42">
        <v>11</v>
      </c>
      <c r="O42">
        <v>90.479754199972305</v>
      </c>
      <c r="Q42">
        <v>90.471247700042994</v>
      </c>
      <c r="R42">
        <v>90.479754199972305</v>
      </c>
      <c r="S42">
        <v>91.463205300038595</v>
      </c>
      <c r="T42">
        <v>91.463205300038595</v>
      </c>
      <c r="U42">
        <v>91.479696499998596</v>
      </c>
      <c r="V42">
        <v>91.980587400030302</v>
      </c>
      <c r="W42" t="s">
        <v>41</v>
      </c>
      <c r="X42">
        <v>0.50227749999612503</v>
      </c>
      <c r="Y42" t="s">
        <v>35</v>
      </c>
      <c r="Z42">
        <v>4</v>
      </c>
      <c r="AA42">
        <v>1</v>
      </c>
      <c r="AB42" t="s">
        <v>36</v>
      </c>
      <c r="AC42" t="s">
        <v>37</v>
      </c>
      <c r="AE42" t="s">
        <v>38</v>
      </c>
      <c r="AF42">
        <v>59.989513822973798</v>
      </c>
      <c r="AG42" t="s">
        <v>39</v>
      </c>
    </row>
    <row r="43" spans="1:33" x14ac:dyDescent="0.3">
      <c r="A43" t="s">
        <v>40</v>
      </c>
      <c r="B43">
        <v>40</v>
      </c>
      <c r="C43">
        <v>55</v>
      </c>
      <c r="D43">
        <v>62</v>
      </c>
      <c r="E43">
        <v>41</v>
      </c>
      <c r="F43">
        <v>1</v>
      </c>
      <c r="G43">
        <v>2</v>
      </c>
      <c r="H43" t="s">
        <v>41</v>
      </c>
      <c r="I43">
        <v>0.59021529997698896</v>
      </c>
      <c r="J43" t="s">
        <v>35</v>
      </c>
      <c r="K43">
        <v>2</v>
      </c>
      <c r="L43">
        <v>1</v>
      </c>
      <c r="M43">
        <v>41</v>
      </c>
      <c r="N43">
        <v>13</v>
      </c>
      <c r="O43">
        <v>91.996198900043893</v>
      </c>
      <c r="Q43">
        <v>91.992373900022301</v>
      </c>
      <c r="R43">
        <v>91.996198900043893</v>
      </c>
      <c r="S43">
        <v>92.980014699976806</v>
      </c>
      <c r="T43">
        <v>92.980014699976806</v>
      </c>
      <c r="U43">
        <v>92.996539599960599</v>
      </c>
      <c r="V43">
        <v>93.580680100014405</v>
      </c>
      <c r="W43" t="s">
        <v>41</v>
      </c>
      <c r="X43">
        <v>0.59021529997698896</v>
      </c>
      <c r="Y43" t="s">
        <v>35</v>
      </c>
      <c r="Z43">
        <v>4</v>
      </c>
      <c r="AA43">
        <v>1</v>
      </c>
      <c r="AB43" t="s">
        <v>36</v>
      </c>
      <c r="AC43" t="s">
        <v>37</v>
      </c>
      <c r="AE43" t="s">
        <v>38</v>
      </c>
      <c r="AF43">
        <v>59.989513822973798</v>
      </c>
      <c r="AG43" t="s">
        <v>39</v>
      </c>
    </row>
    <row r="44" spans="1:33" x14ac:dyDescent="0.3">
      <c r="A44" t="s">
        <v>33</v>
      </c>
      <c r="B44">
        <v>27</v>
      </c>
      <c r="C44">
        <v>50</v>
      </c>
      <c r="D44">
        <v>21</v>
      </c>
      <c r="E44">
        <v>42</v>
      </c>
      <c r="F44">
        <v>2</v>
      </c>
      <c r="G44">
        <v>2</v>
      </c>
      <c r="H44" t="s">
        <v>34</v>
      </c>
      <c r="I44">
        <v>0.59908309997990705</v>
      </c>
      <c r="J44" t="s">
        <v>35</v>
      </c>
      <c r="K44">
        <v>2</v>
      </c>
      <c r="L44">
        <v>2</v>
      </c>
      <c r="M44">
        <v>42</v>
      </c>
      <c r="N44">
        <v>2</v>
      </c>
      <c r="O44">
        <v>93.596095400047403</v>
      </c>
      <c r="Q44">
        <v>93.588783000013706</v>
      </c>
      <c r="R44">
        <v>93.596095400047403</v>
      </c>
      <c r="S44">
        <v>94.5799198000459</v>
      </c>
      <c r="T44">
        <v>94.5799198000459</v>
      </c>
      <c r="U44">
        <v>94.596923799952407</v>
      </c>
      <c r="V44">
        <v>95.180279999971305</v>
      </c>
      <c r="W44" t="s">
        <v>34</v>
      </c>
      <c r="X44">
        <v>0.59908309997990705</v>
      </c>
      <c r="Y44" t="s">
        <v>35</v>
      </c>
      <c r="Z44">
        <v>4</v>
      </c>
      <c r="AA44">
        <v>1</v>
      </c>
      <c r="AB44" t="s">
        <v>36</v>
      </c>
      <c r="AC44" t="s">
        <v>37</v>
      </c>
      <c r="AE44" t="s">
        <v>38</v>
      </c>
      <c r="AF44">
        <v>59.989513822973798</v>
      </c>
      <c r="AG44" t="s">
        <v>39</v>
      </c>
    </row>
    <row r="45" spans="1:33" x14ac:dyDescent="0.3">
      <c r="A45" t="s">
        <v>40</v>
      </c>
      <c r="B45">
        <v>78</v>
      </c>
      <c r="C45">
        <v>80</v>
      </c>
      <c r="D45">
        <v>162</v>
      </c>
      <c r="E45">
        <v>43</v>
      </c>
      <c r="F45">
        <v>3</v>
      </c>
      <c r="G45">
        <v>2</v>
      </c>
      <c r="H45" t="s">
        <v>41</v>
      </c>
      <c r="I45">
        <v>0.61238639999646605</v>
      </c>
      <c r="J45" t="s">
        <v>35</v>
      </c>
      <c r="K45">
        <v>2</v>
      </c>
      <c r="L45">
        <v>3</v>
      </c>
      <c r="M45">
        <v>43</v>
      </c>
      <c r="N45">
        <v>16</v>
      </c>
      <c r="O45">
        <v>95.196422799955997</v>
      </c>
      <c r="Q45">
        <v>95.189131399965802</v>
      </c>
      <c r="R45">
        <v>95.196422799955997</v>
      </c>
      <c r="S45">
        <v>96.180003399960697</v>
      </c>
      <c r="T45">
        <v>96.180003399960697</v>
      </c>
      <c r="U45">
        <v>96.196373300044797</v>
      </c>
      <c r="V45">
        <v>96.797087599988998</v>
      </c>
      <c r="W45" t="s">
        <v>41</v>
      </c>
      <c r="X45">
        <v>0.61238639999646605</v>
      </c>
      <c r="Y45" t="s">
        <v>35</v>
      </c>
      <c r="Z45">
        <v>4</v>
      </c>
      <c r="AA45">
        <v>1</v>
      </c>
      <c r="AB45" t="s">
        <v>36</v>
      </c>
      <c r="AC45" t="s">
        <v>37</v>
      </c>
      <c r="AE45" t="s">
        <v>38</v>
      </c>
      <c r="AF45">
        <v>59.989513822973798</v>
      </c>
      <c r="AG45" t="s">
        <v>39</v>
      </c>
    </row>
    <row r="46" spans="1:33" x14ac:dyDescent="0.3">
      <c r="A46" t="s">
        <v>33</v>
      </c>
      <c r="B46">
        <v>49</v>
      </c>
      <c r="C46">
        <v>60</v>
      </c>
      <c r="D46">
        <v>89</v>
      </c>
      <c r="E46">
        <v>44</v>
      </c>
      <c r="F46">
        <v>4</v>
      </c>
      <c r="G46">
        <v>2</v>
      </c>
      <c r="H46" t="s">
        <v>34</v>
      </c>
      <c r="I46">
        <v>0.69973930006381102</v>
      </c>
      <c r="J46" t="s">
        <v>35</v>
      </c>
      <c r="K46">
        <v>2</v>
      </c>
      <c r="L46">
        <v>4</v>
      </c>
      <c r="M46">
        <v>44</v>
      </c>
      <c r="N46">
        <v>4</v>
      </c>
      <c r="O46">
        <v>96.813417500001293</v>
      </c>
      <c r="Q46">
        <v>96.805766799952806</v>
      </c>
      <c r="R46">
        <v>96.813417500001293</v>
      </c>
      <c r="S46">
        <v>97.796137099969201</v>
      </c>
      <c r="T46">
        <v>97.796137099969201</v>
      </c>
      <c r="U46">
        <v>97.812773299985494</v>
      </c>
      <c r="V46">
        <v>98.497325200005406</v>
      </c>
      <c r="W46" t="s">
        <v>34</v>
      </c>
      <c r="X46">
        <v>0.69973930006381102</v>
      </c>
      <c r="Y46" t="s">
        <v>35</v>
      </c>
      <c r="Z46">
        <v>4</v>
      </c>
      <c r="AA46">
        <v>1</v>
      </c>
      <c r="AB46" t="s">
        <v>36</v>
      </c>
      <c r="AC46" t="s">
        <v>37</v>
      </c>
      <c r="AE46" t="s">
        <v>38</v>
      </c>
      <c r="AF46">
        <v>59.989513822973798</v>
      </c>
      <c r="AG46" t="s">
        <v>39</v>
      </c>
    </row>
    <row r="47" spans="1:33" x14ac:dyDescent="0.3">
      <c r="A47" t="s">
        <v>33</v>
      </c>
      <c r="B47">
        <v>15</v>
      </c>
      <c r="C47">
        <v>35</v>
      </c>
      <c r="D47">
        <v>13</v>
      </c>
      <c r="E47">
        <v>45</v>
      </c>
      <c r="F47">
        <v>5</v>
      </c>
      <c r="G47">
        <v>2</v>
      </c>
      <c r="H47" t="s">
        <v>34</v>
      </c>
      <c r="I47">
        <v>1.09564259997569</v>
      </c>
      <c r="J47" t="s">
        <v>35</v>
      </c>
      <c r="K47">
        <v>2</v>
      </c>
      <c r="L47">
        <v>5</v>
      </c>
      <c r="M47">
        <v>45</v>
      </c>
      <c r="N47">
        <v>7</v>
      </c>
      <c r="O47">
        <v>98.513457100023501</v>
      </c>
      <c r="Q47">
        <v>98.504431099980096</v>
      </c>
      <c r="R47">
        <v>98.513457100023501</v>
      </c>
      <c r="S47">
        <v>99.496643000049502</v>
      </c>
      <c r="T47">
        <v>99.496643000049502</v>
      </c>
      <c r="U47">
        <v>99.513755599968107</v>
      </c>
      <c r="V47">
        <v>100.596941899973</v>
      </c>
      <c r="W47" t="s">
        <v>34</v>
      </c>
      <c r="X47">
        <v>1.09564259997569</v>
      </c>
      <c r="Y47" t="s">
        <v>35</v>
      </c>
      <c r="Z47">
        <v>4</v>
      </c>
      <c r="AA47">
        <v>1</v>
      </c>
      <c r="AB47" t="s">
        <v>36</v>
      </c>
      <c r="AC47" t="s">
        <v>37</v>
      </c>
      <c r="AE47" t="s">
        <v>38</v>
      </c>
      <c r="AF47">
        <v>59.989513822973798</v>
      </c>
      <c r="AG47" t="s">
        <v>39</v>
      </c>
    </row>
    <row r="48" spans="1:33" x14ac:dyDescent="0.3">
      <c r="A48" t="s">
        <v>33</v>
      </c>
      <c r="B48">
        <v>40</v>
      </c>
      <c r="C48">
        <v>55</v>
      </c>
      <c r="D48">
        <v>62</v>
      </c>
      <c r="E48">
        <v>46</v>
      </c>
      <c r="F48">
        <v>6</v>
      </c>
      <c r="G48">
        <v>2</v>
      </c>
      <c r="H48" t="s">
        <v>34</v>
      </c>
      <c r="I48">
        <v>0.86212720000184995</v>
      </c>
      <c r="J48" t="s">
        <v>35</v>
      </c>
      <c r="K48">
        <v>2</v>
      </c>
      <c r="L48">
        <v>6</v>
      </c>
      <c r="M48">
        <v>46</v>
      </c>
      <c r="N48">
        <v>8</v>
      </c>
      <c r="O48">
        <v>100.613191199954</v>
      </c>
      <c r="Q48">
        <v>100.605999200022</v>
      </c>
      <c r="R48">
        <v>100.613191199954</v>
      </c>
      <c r="S48">
        <v>101.596593900001</v>
      </c>
      <c r="T48">
        <v>101.596593900001</v>
      </c>
      <c r="U48">
        <v>101.613244700012</v>
      </c>
      <c r="V48">
        <v>102.46376109996299</v>
      </c>
      <c r="W48" t="s">
        <v>34</v>
      </c>
      <c r="X48">
        <v>0.86212720000184995</v>
      </c>
      <c r="Y48" t="s">
        <v>35</v>
      </c>
      <c r="Z48">
        <v>4</v>
      </c>
      <c r="AA48">
        <v>1</v>
      </c>
      <c r="AB48" t="s">
        <v>36</v>
      </c>
      <c r="AC48" t="s">
        <v>37</v>
      </c>
      <c r="AE48" t="s">
        <v>38</v>
      </c>
      <c r="AF48">
        <v>59.989513822973798</v>
      </c>
      <c r="AG48" t="s">
        <v>39</v>
      </c>
    </row>
    <row r="49" spans="1:33" x14ac:dyDescent="0.3">
      <c r="A49" t="s">
        <v>40</v>
      </c>
      <c r="B49">
        <v>49</v>
      </c>
      <c r="C49">
        <v>60</v>
      </c>
      <c r="D49">
        <v>89</v>
      </c>
      <c r="E49">
        <v>47</v>
      </c>
      <c r="F49">
        <v>7</v>
      </c>
      <c r="G49">
        <v>2</v>
      </c>
      <c r="H49" t="s">
        <v>41</v>
      </c>
      <c r="I49">
        <v>0.66310899995732997</v>
      </c>
      <c r="J49" t="s">
        <v>35</v>
      </c>
      <c r="K49">
        <v>2</v>
      </c>
      <c r="L49">
        <v>7</v>
      </c>
      <c r="M49">
        <v>47</v>
      </c>
      <c r="N49">
        <v>19</v>
      </c>
      <c r="O49">
        <v>102.47992169996699</v>
      </c>
      <c r="Q49">
        <v>102.473654499975</v>
      </c>
      <c r="R49">
        <v>102.47992169996699</v>
      </c>
      <c r="S49">
        <v>103.46345100004601</v>
      </c>
      <c r="T49">
        <v>103.46345100004601</v>
      </c>
      <c r="U49">
        <v>103.47995249996799</v>
      </c>
      <c r="V49">
        <v>104.130431300029</v>
      </c>
      <c r="W49" t="s">
        <v>41</v>
      </c>
      <c r="X49">
        <v>0.66310899995732997</v>
      </c>
      <c r="Y49" t="s">
        <v>35</v>
      </c>
      <c r="Z49">
        <v>4</v>
      </c>
      <c r="AA49">
        <v>1</v>
      </c>
      <c r="AB49" t="s">
        <v>36</v>
      </c>
      <c r="AC49" t="s">
        <v>37</v>
      </c>
      <c r="AE49" t="s">
        <v>38</v>
      </c>
      <c r="AF49">
        <v>59.989513822973798</v>
      </c>
      <c r="AG49" t="s">
        <v>39</v>
      </c>
    </row>
    <row r="50" spans="1:33" x14ac:dyDescent="0.3">
      <c r="A50" t="s">
        <v>33</v>
      </c>
      <c r="B50">
        <v>40</v>
      </c>
      <c r="C50">
        <v>55</v>
      </c>
      <c r="D50">
        <v>62</v>
      </c>
      <c r="E50">
        <v>48</v>
      </c>
      <c r="F50">
        <v>8</v>
      </c>
      <c r="G50">
        <v>2</v>
      </c>
      <c r="H50" t="s">
        <v>34</v>
      </c>
      <c r="I50">
        <v>1.43001619994174</v>
      </c>
      <c r="J50" t="s">
        <v>35</v>
      </c>
      <c r="K50">
        <v>2</v>
      </c>
      <c r="L50">
        <v>8</v>
      </c>
      <c r="M50">
        <v>48</v>
      </c>
      <c r="N50">
        <v>3</v>
      </c>
      <c r="O50">
        <v>104.146696200012</v>
      </c>
      <c r="Q50">
        <v>104.135501199983</v>
      </c>
      <c r="R50">
        <v>104.146696200012</v>
      </c>
      <c r="S50">
        <v>105.130021800054</v>
      </c>
      <c r="T50">
        <v>105.130021800054</v>
      </c>
      <c r="U50">
        <v>105.146550299949</v>
      </c>
      <c r="V50">
        <v>106.56380190001801</v>
      </c>
      <c r="W50" t="s">
        <v>34</v>
      </c>
      <c r="X50">
        <v>1.43001619994174</v>
      </c>
      <c r="Y50" t="s">
        <v>35</v>
      </c>
      <c r="Z50">
        <v>4</v>
      </c>
      <c r="AA50">
        <v>1</v>
      </c>
      <c r="AB50" t="s">
        <v>36</v>
      </c>
      <c r="AC50" t="s">
        <v>37</v>
      </c>
      <c r="AE50" t="s">
        <v>38</v>
      </c>
      <c r="AF50">
        <v>59.989513822973798</v>
      </c>
      <c r="AG50" t="s">
        <v>39</v>
      </c>
    </row>
    <row r="51" spans="1:33" x14ac:dyDescent="0.3">
      <c r="A51" t="s">
        <v>40</v>
      </c>
      <c r="B51">
        <v>40</v>
      </c>
      <c r="C51">
        <v>55</v>
      </c>
      <c r="D51">
        <v>62</v>
      </c>
      <c r="E51">
        <v>49</v>
      </c>
      <c r="F51">
        <v>9</v>
      </c>
      <c r="G51">
        <v>2</v>
      </c>
      <c r="H51" t="s">
        <v>41</v>
      </c>
      <c r="I51">
        <v>2.0247423999244298</v>
      </c>
      <c r="J51" t="s">
        <v>35</v>
      </c>
      <c r="K51">
        <v>2</v>
      </c>
      <c r="L51">
        <v>9</v>
      </c>
      <c r="M51">
        <v>49</v>
      </c>
      <c r="N51">
        <v>18</v>
      </c>
      <c r="O51">
        <v>106.579826700035</v>
      </c>
      <c r="Q51">
        <v>106.572007599985</v>
      </c>
      <c r="R51">
        <v>106.579826700035</v>
      </c>
      <c r="S51">
        <v>107.56336230004599</v>
      </c>
      <c r="T51">
        <v>107.56336230004599</v>
      </c>
      <c r="U51">
        <v>107.579910499975</v>
      </c>
      <c r="V51">
        <v>109.596853499999</v>
      </c>
      <c r="W51" t="s">
        <v>41</v>
      </c>
      <c r="X51">
        <v>2.0247423999244298</v>
      </c>
      <c r="Y51" t="s">
        <v>35</v>
      </c>
      <c r="Z51">
        <v>4</v>
      </c>
      <c r="AA51">
        <v>1</v>
      </c>
      <c r="AB51" t="s">
        <v>36</v>
      </c>
      <c r="AC51" t="s">
        <v>37</v>
      </c>
      <c r="AE51" t="s">
        <v>38</v>
      </c>
      <c r="AF51">
        <v>59.989513822973798</v>
      </c>
      <c r="AG51" t="s">
        <v>39</v>
      </c>
    </row>
    <row r="52" spans="1:33" x14ac:dyDescent="0.3">
      <c r="A52" t="s">
        <v>40</v>
      </c>
      <c r="B52">
        <v>67</v>
      </c>
      <c r="C52">
        <v>75</v>
      </c>
      <c r="D52">
        <v>119</v>
      </c>
      <c r="E52">
        <v>50</v>
      </c>
      <c r="F52">
        <v>10</v>
      </c>
      <c r="G52">
        <v>2</v>
      </c>
      <c r="H52" t="s">
        <v>41</v>
      </c>
      <c r="I52">
        <v>4.0941213000332901</v>
      </c>
      <c r="J52" t="s">
        <v>35</v>
      </c>
      <c r="K52">
        <v>2</v>
      </c>
      <c r="L52">
        <v>10</v>
      </c>
      <c r="M52">
        <v>50</v>
      </c>
      <c r="N52">
        <v>15</v>
      </c>
      <c r="O52">
        <v>109.61326899996401</v>
      </c>
      <c r="Q52">
        <v>109.60548619995799</v>
      </c>
      <c r="R52">
        <v>109.61326899996401</v>
      </c>
      <c r="S52">
        <v>110.59660479996801</v>
      </c>
      <c r="T52">
        <v>110.59660479996801</v>
      </c>
      <c r="U52">
        <v>110.613284299965</v>
      </c>
      <c r="V52">
        <v>114.697125899954</v>
      </c>
      <c r="W52" t="s">
        <v>41</v>
      </c>
      <c r="X52">
        <v>4.0941213000332901</v>
      </c>
      <c r="Y52" t="s">
        <v>35</v>
      </c>
      <c r="Z52">
        <v>4</v>
      </c>
      <c r="AA52">
        <v>1</v>
      </c>
      <c r="AB52" t="s">
        <v>36</v>
      </c>
      <c r="AC52" t="s">
        <v>37</v>
      </c>
      <c r="AE52" t="s">
        <v>38</v>
      </c>
      <c r="AF52">
        <v>59.989513822973798</v>
      </c>
      <c r="AG52" t="s">
        <v>39</v>
      </c>
    </row>
    <row r="53" spans="1:33" x14ac:dyDescent="0.3">
      <c r="A53" t="s">
        <v>33</v>
      </c>
      <c r="B53">
        <v>78</v>
      </c>
      <c r="C53">
        <v>80</v>
      </c>
      <c r="D53">
        <v>162</v>
      </c>
      <c r="E53">
        <v>51</v>
      </c>
      <c r="F53">
        <v>11</v>
      </c>
      <c r="G53">
        <v>2</v>
      </c>
      <c r="H53" t="s">
        <v>34</v>
      </c>
      <c r="I53">
        <v>0.84854749997612</v>
      </c>
      <c r="J53" t="s">
        <v>35</v>
      </c>
      <c r="K53">
        <v>2</v>
      </c>
      <c r="L53">
        <v>11</v>
      </c>
      <c r="M53">
        <v>51</v>
      </c>
      <c r="N53">
        <v>6</v>
      </c>
      <c r="O53">
        <v>114.71341039997</v>
      </c>
      <c r="Q53">
        <v>114.70600939996</v>
      </c>
      <c r="R53">
        <v>114.71341039997</v>
      </c>
      <c r="S53">
        <v>115.696967100026</v>
      </c>
      <c r="T53">
        <v>115.696967100026</v>
      </c>
      <c r="U53">
        <v>115.713427399983</v>
      </c>
      <c r="V53">
        <v>116.54686180001499</v>
      </c>
      <c r="W53" t="s">
        <v>34</v>
      </c>
      <c r="X53">
        <v>0.84854749997612</v>
      </c>
      <c r="Y53" t="s">
        <v>35</v>
      </c>
      <c r="Z53">
        <v>4</v>
      </c>
      <c r="AA53">
        <v>1</v>
      </c>
      <c r="AB53" t="s">
        <v>36</v>
      </c>
      <c r="AC53" t="s">
        <v>37</v>
      </c>
      <c r="AE53" t="s">
        <v>38</v>
      </c>
      <c r="AF53">
        <v>59.989513822973798</v>
      </c>
      <c r="AG53" t="s">
        <v>39</v>
      </c>
    </row>
    <row r="54" spans="1:33" x14ac:dyDescent="0.3">
      <c r="A54" t="s">
        <v>33</v>
      </c>
      <c r="B54">
        <v>11</v>
      </c>
      <c r="C54">
        <v>30</v>
      </c>
      <c r="D54">
        <v>7</v>
      </c>
      <c r="E54">
        <v>52</v>
      </c>
      <c r="F54">
        <v>12</v>
      </c>
      <c r="G54">
        <v>2</v>
      </c>
      <c r="H54" t="s">
        <v>34</v>
      </c>
      <c r="I54">
        <v>0.72460289997979999</v>
      </c>
      <c r="J54" t="s">
        <v>35</v>
      </c>
      <c r="K54">
        <v>2</v>
      </c>
      <c r="L54">
        <v>12</v>
      </c>
      <c r="M54">
        <v>52</v>
      </c>
      <c r="N54">
        <v>0</v>
      </c>
      <c r="O54">
        <v>116.563462799997</v>
      </c>
      <c r="Q54">
        <v>116.555169700062</v>
      </c>
      <c r="R54">
        <v>116.563462799997</v>
      </c>
      <c r="S54">
        <v>117.546698100049</v>
      </c>
      <c r="T54">
        <v>117.546698100049</v>
      </c>
      <c r="U54">
        <v>117.563540100003</v>
      </c>
      <c r="V54">
        <v>118.280473300023</v>
      </c>
      <c r="W54" t="s">
        <v>34</v>
      </c>
      <c r="X54">
        <v>0.72460289997979999</v>
      </c>
      <c r="Y54" t="s">
        <v>35</v>
      </c>
      <c r="Z54">
        <v>4</v>
      </c>
      <c r="AA54">
        <v>1</v>
      </c>
      <c r="AB54" t="s">
        <v>36</v>
      </c>
      <c r="AC54" t="s">
        <v>37</v>
      </c>
      <c r="AE54" t="s">
        <v>38</v>
      </c>
      <c r="AF54">
        <v>59.989513822973798</v>
      </c>
      <c r="AG54" t="s">
        <v>39</v>
      </c>
    </row>
    <row r="55" spans="1:33" x14ac:dyDescent="0.3">
      <c r="A55" t="s">
        <v>40</v>
      </c>
      <c r="B55">
        <v>49</v>
      </c>
      <c r="C55">
        <v>60</v>
      </c>
      <c r="D55">
        <v>89</v>
      </c>
      <c r="E55">
        <v>53</v>
      </c>
      <c r="F55">
        <v>13</v>
      </c>
      <c r="G55">
        <v>2</v>
      </c>
      <c r="H55" t="s">
        <v>41</v>
      </c>
      <c r="I55">
        <v>0.52073039999231696</v>
      </c>
      <c r="J55" t="s">
        <v>35</v>
      </c>
      <c r="K55">
        <v>2</v>
      </c>
      <c r="L55">
        <v>13</v>
      </c>
      <c r="M55">
        <v>53</v>
      </c>
      <c r="N55">
        <v>14</v>
      </c>
      <c r="O55">
        <v>118.296583899995</v>
      </c>
      <c r="Q55">
        <v>118.28798340004801</v>
      </c>
      <c r="R55">
        <v>118.296583899995</v>
      </c>
      <c r="S55">
        <v>119.280050899949</v>
      </c>
      <c r="T55">
        <v>119.280050899949</v>
      </c>
      <c r="U55">
        <v>119.296603100025</v>
      </c>
      <c r="V55">
        <v>119.81378169998</v>
      </c>
      <c r="W55" t="s">
        <v>41</v>
      </c>
      <c r="X55">
        <v>0.52073039999231696</v>
      </c>
      <c r="Y55" t="s">
        <v>35</v>
      </c>
      <c r="Z55">
        <v>4</v>
      </c>
      <c r="AA55">
        <v>1</v>
      </c>
      <c r="AB55" t="s">
        <v>36</v>
      </c>
      <c r="AC55" t="s">
        <v>37</v>
      </c>
      <c r="AE55" t="s">
        <v>38</v>
      </c>
      <c r="AF55">
        <v>59.989513822973798</v>
      </c>
      <c r="AG55" t="s">
        <v>39</v>
      </c>
    </row>
    <row r="56" spans="1:33" x14ac:dyDescent="0.3">
      <c r="A56" t="s">
        <v>40</v>
      </c>
      <c r="B56">
        <v>11</v>
      </c>
      <c r="C56">
        <v>30</v>
      </c>
      <c r="D56">
        <v>7</v>
      </c>
      <c r="E56">
        <v>54</v>
      </c>
      <c r="F56">
        <v>14</v>
      </c>
      <c r="G56">
        <v>2</v>
      </c>
      <c r="H56" t="s">
        <v>41</v>
      </c>
      <c r="I56">
        <v>0.71932859998196297</v>
      </c>
      <c r="J56" t="s">
        <v>35</v>
      </c>
      <c r="K56">
        <v>2</v>
      </c>
      <c r="L56">
        <v>14</v>
      </c>
      <c r="M56">
        <v>54</v>
      </c>
      <c r="N56">
        <v>10</v>
      </c>
      <c r="O56">
        <v>119.82995549996799</v>
      </c>
      <c r="Q56">
        <v>119.82217790000099</v>
      </c>
      <c r="R56">
        <v>119.82995549996799</v>
      </c>
      <c r="S56">
        <v>120.813421700033</v>
      </c>
      <c r="T56">
        <v>120.813421700033</v>
      </c>
      <c r="U56">
        <v>120.82998310006199</v>
      </c>
      <c r="V56">
        <v>121.547040999983</v>
      </c>
      <c r="W56" t="s">
        <v>41</v>
      </c>
      <c r="X56">
        <v>0.71932859998196297</v>
      </c>
      <c r="Y56" t="s">
        <v>35</v>
      </c>
      <c r="Z56">
        <v>4</v>
      </c>
      <c r="AA56">
        <v>1</v>
      </c>
      <c r="AB56" t="s">
        <v>36</v>
      </c>
      <c r="AC56" t="s">
        <v>37</v>
      </c>
      <c r="AE56" t="s">
        <v>38</v>
      </c>
      <c r="AF56">
        <v>59.989513822973798</v>
      </c>
      <c r="AG56" t="s">
        <v>39</v>
      </c>
    </row>
    <row r="57" spans="1:33" x14ac:dyDescent="0.3">
      <c r="A57" t="s">
        <v>33</v>
      </c>
      <c r="B57">
        <v>49</v>
      </c>
      <c r="C57">
        <v>60</v>
      </c>
      <c r="D57">
        <v>89</v>
      </c>
      <c r="E57">
        <v>55</v>
      </c>
      <c r="F57">
        <v>15</v>
      </c>
      <c r="G57">
        <v>2</v>
      </c>
      <c r="H57" t="s">
        <v>34</v>
      </c>
      <c r="I57">
        <v>0.57340399990789503</v>
      </c>
      <c r="J57" t="s">
        <v>35</v>
      </c>
      <c r="K57">
        <v>2</v>
      </c>
      <c r="L57">
        <v>15</v>
      </c>
      <c r="M57">
        <v>55</v>
      </c>
      <c r="N57">
        <v>9</v>
      </c>
      <c r="O57">
        <v>121.56327359995301</v>
      </c>
      <c r="Q57">
        <v>121.55566810001601</v>
      </c>
      <c r="R57">
        <v>121.56327359995301</v>
      </c>
      <c r="S57">
        <v>122.54665020003399</v>
      </c>
      <c r="T57">
        <v>122.54665020003399</v>
      </c>
      <c r="U57">
        <v>122.563322699978</v>
      </c>
      <c r="V57">
        <v>123.130548099987</v>
      </c>
      <c r="W57" t="s">
        <v>34</v>
      </c>
      <c r="X57">
        <v>0.57340399990789503</v>
      </c>
      <c r="Y57" t="s">
        <v>35</v>
      </c>
      <c r="Z57">
        <v>4</v>
      </c>
      <c r="AA57">
        <v>1</v>
      </c>
      <c r="AB57" t="s">
        <v>36</v>
      </c>
      <c r="AC57" t="s">
        <v>37</v>
      </c>
      <c r="AE57" t="s">
        <v>38</v>
      </c>
      <c r="AF57">
        <v>59.989513822973798</v>
      </c>
      <c r="AG57" t="s">
        <v>39</v>
      </c>
    </row>
    <row r="58" spans="1:33" x14ac:dyDescent="0.3">
      <c r="A58" t="s">
        <v>33</v>
      </c>
      <c r="B58">
        <v>15</v>
      </c>
      <c r="C58">
        <v>35</v>
      </c>
      <c r="D58">
        <v>13</v>
      </c>
      <c r="E58">
        <v>56</v>
      </c>
      <c r="F58">
        <v>16</v>
      </c>
      <c r="G58">
        <v>2</v>
      </c>
      <c r="H58" t="s">
        <v>34</v>
      </c>
      <c r="I58">
        <v>4.2537286999868202</v>
      </c>
      <c r="J58" t="s">
        <v>35</v>
      </c>
      <c r="K58">
        <v>2</v>
      </c>
      <c r="L58">
        <v>16</v>
      </c>
      <c r="M58">
        <v>56</v>
      </c>
      <c r="N58">
        <v>1</v>
      </c>
      <c r="O58">
        <v>123.14620019996001</v>
      </c>
      <c r="Q58">
        <v>123.139588500023</v>
      </c>
      <c r="R58">
        <v>123.14620019996001</v>
      </c>
      <c r="S58">
        <v>124.130031900014</v>
      </c>
      <c r="T58">
        <v>124.130031900014</v>
      </c>
      <c r="U58">
        <v>124.146091400063</v>
      </c>
      <c r="V58">
        <v>128.39684449997699</v>
      </c>
      <c r="W58" t="s">
        <v>34</v>
      </c>
      <c r="X58">
        <v>4.2537286999868202</v>
      </c>
      <c r="Y58" t="s">
        <v>35</v>
      </c>
      <c r="Z58">
        <v>4</v>
      </c>
      <c r="AA58">
        <v>1</v>
      </c>
      <c r="AB58" t="s">
        <v>36</v>
      </c>
      <c r="AC58" t="s">
        <v>37</v>
      </c>
      <c r="AE58" t="s">
        <v>38</v>
      </c>
      <c r="AF58">
        <v>59.989513822973798</v>
      </c>
      <c r="AG58" t="s">
        <v>39</v>
      </c>
    </row>
    <row r="59" spans="1:33" x14ac:dyDescent="0.3">
      <c r="A59" t="s">
        <v>33</v>
      </c>
      <c r="B59">
        <v>67</v>
      </c>
      <c r="C59">
        <v>75</v>
      </c>
      <c r="D59">
        <v>119</v>
      </c>
      <c r="E59">
        <v>57</v>
      </c>
      <c r="F59">
        <v>17</v>
      </c>
      <c r="G59">
        <v>2</v>
      </c>
      <c r="H59" t="s">
        <v>34</v>
      </c>
      <c r="I59">
        <v>1.5009866000618699</v>
      </c>
      <c r="J59" t="s">
        <v>35</v>
      </c>
      <c r="K59">
        <v>2</v>
      </c>
      <c r="L59">
        <v>17</v>
      </c>
      <c r="M59">
        <v>57</v>
      </c>
      <c r="N59">
        <v>5</v>
      </c>
      <c r="O59">
        <v>128.41307580005301</v>
      </c>
      <c r="Q59">
        <v>128.40009680006099</v>
      </c>
      <c r="R59">
        <v>128.41307580005301</v>
      </c>
      <c r="S59">
        <v>129.396321999956</v>
      </c>
      <c r="T59">
        <v>129.396321999956</v>
      </c>
      <c r="U59">
        <v>129.41280799999299</v>
      </c>
      <c r="V59">
        <v>130.91342700005001</v>
      </c>
      <c r="W59" t="s">
        <v>34</v>
      </c>
      <c r="X59">
        <v>1.5009866000618699</v>
      </c>
      <c r="Y59" t="s">
        <v>35</v>
      </c>
      <c r="Z59">
        <v>4</v>
      </c>
      <c r="AA59">
        <v>1</v>
      </c>
      <c r="AB59" t="s">
        <v>36</v>
      </c>
      <c r="AC59" t="s">
        <v>37</v>
      </c>
      <c r="AE59" t="s">
        <v>38</v>
      </c>
      <c r="AF59">
        <v>59.989513822973798</v>
      </c>
      <c r="AG59" t="s">
        <v>39</v>
      </c>
    </row>
    <row r="60" spans="1:33" x14ac:dyDescent="0.3">
      <c r="A60" t="s">
        <v>40</v>
      </c>
      <c r="B60">
        <v>15</v>
      </c>
      <c r="C60">
        <v>35</v>
      </c>
      <c r="D60">
        <v>13</v>
      </c>
      <c r="E60">
        <v>58</v>
      </c>
      <c r="F60">
        <v>18</v>
      </c>
      <c r="G60">
        <v>2</v>
      </c>
      <c r="H60" t="s">
        <v>41</v>
      </c>
      <c r="I60">
        <v>6.6488582999445498</v>
      </c>
      <c r="J60" t="s">
        <v>35</v>
      </c>
      <c r="K60">
        <v>2</v>
      </c>
      <c r="L60">
        <v>18</v>
      </c>
      <c r="M60">
        <v>58</v>
      </c>
      <c r="N60">
        <v>17</v>
      </c>
      <c r="O60">
        <v>130.92954789998399</v>
      </c>
      <c r="Q60">
        <v>130.91628250002299</v>
      </c>
      <c r="R60">
        <v>130.92954789998399</v>
      </c>
      <c r="S60">
        <v>131.91338050004501</v>
      </c>
      <c r="T60">
        <v>131.91338050004501</v>
      </c>
      <c r="U60">
        <v>131.92997589998399</v>
      </c>
      <c r="V60">
        <v>138.563703499967</v>
      </c>
      <c r="W60" t="s">
        <v>41</v>
      </c>
      <c r="X60">
        <v>6.6488582999445498</v>
      </c>
      <c r="Y60" t="s">
        <v>35</v>
      </c>
      <c r="Z60">
        <v>4</v>
      </c>
      <c r="AA60">
        <v>1</v>
      </c>
      <c r="AB60" t="s">
        <v>36</v>
      </c>
      <c r="AC60" t="s">
        <v>37</v>
      </c>
      <c r="AE60" t="s">
        <v>38</v>
      </c>
      <c r="AF60">
        <v>59.989513822973798</v>
      </c>
      <c r="AG60" t="s">
        <v>39</v>
      </c>
    </row>
    <row r="61" spans="1:33" x14ac:dyDescent="0.3">
      <c r="A61" t="s">
        <v>40</v>
      </c>
      <c r="B61">
        <v>27</v>
      </c>
      <c r="C61">
        <v>50</v>
      </c>
      <c r="D61">
        <v>21</v>
      </c>
      <c r="E61">
        <v>59</v>
      </c>
      <c r="F61">
        <v>19</v>
      </c>
      <c r="G61">
        <v>2</v>
      </c>
      <c r="H61" t="s">
        <v>41</v>
      </c>
      <c r="I61">
        <v>5.13850750005804</v>
      </c>
      <c r="J61" t="s">
        <v>35</v>
      </c>
      <c r="K61">
        <v>2</v>
      </c>
      <c r="L61">
        <v>19</v>
      </c>
      <c r="M61">
        <v>59</v>
      </c>
      <c r="N61">
        <v>12</v>
      </c>
      <c r="O61">
        <v>138.58012299996301</v>
      </c>
      <c r="Q61">
        <v>138.571049300022</v>
      </c>
      <c r="R61">
        <v>138.58012299996301</v>
      </c>
      <c r="S61">
        <v>139.56343189999399</v>
      </c>
      <c r="T61">
        <v>139.56343189999399</v>
      </c>
      <c r="U61">
        <v>139.57999770005699</v>
      </c>
      <c r="V61">
        <v>144.71398200001499</v>
      </c>
      <c r="W61" t="s">
        <v>41</v>
      </c>
      <c r="X61">
        <v>5.13850750005804</v>
      </c>
      <c r="Y61" t="s">
        <v>35</v>
      </c>
      <c r="Z61">
        <v>4</v>
      </c>
      <c r="AA61">
        <v>1</v>
      </c>
      <c r="AB61" t="s">
        <v>36</v>
      </c>
      <c r="AC61" t="s">
        <v>37</v>
      </c>
      <c r="AE61" t="s">
        <v>38</v>
      </c>
      <c r="AF61">
        <v>59.989513822973798</v>
      </c>
      <c r="AG61" t="s">
        <v>39</v>
      </c>
    </row>
    <row r="62" spans="1:33" x14ac:dyDescent="0.3">
      <c r="A62" t="s">
        <v>33</v>
      </c>
      <c r="B62">
        <v>49</v>
      </c>
      <c r="C62">
        <v>60</v>
      </c>
      <c r="D62">
        <v>89</v>
      </c>
      <c r="E62">
        <v>60</v>
      </c>
      <c r="F62">
        <v>0</v>
      </c>
      <c r="G62">
        <v>3</v>
      </c>
      <c r="H62" t="s">
        <v>34</v>
      </c>
      <c r="I62">
        <v>0.73992100008763295</v>
      </c>
      <c r="J62" t="s">
        <v>35</v>
      </c>
      <c r="K62">
        <v>3</v>
      </c>
      <c r="L62">
        <v>0</v>
      </c>
      <c r="M62">
        <v>60</v>
      </c>
      <c r="N62">
        <v>9</v>
      </c>
      <c r="O62">
        <v>144.72975469997601</v>
      </c>
      <c r="Q62">
        <v>144.72258329996799</v>
      </c>
      <c r="R62">
        <v>144.72975469997601</v>
      </c>
      <c r="S62">
        <v>145.713413499994</v>
      </c>
      <c r="T62">
        <v>145.713413499994</v>
      </c>
      <c r="U62">
        <v>145.72989560000099</v>
      </c>
      <c r="V62">
        <v>146.46387870004401</v>
      </c>
      <c r="W62" t="s">
        <v>34</v>
      </c>
      <c r="X62">
        <v>0.73992100008763295</v>
      </c>
      <c r="Y62" t="s">
        <v>35</v>
      </c>
      <c r="Z62">
        <v>4</v>
      </c>
      <c r="AA62">
        <v>1</v>
      </c>
      <c r="AB62" t="s">
        <v>36</v>
      </c>
      <c r="AC62" t="s">
        <v>37</v>
      </c>
      <c r="AE62" t="s">
        <v>38</v>
      </c>
      <c r="AF62">
        <v>59.989513822973798</v>
      </c>
      <c r="AG62" t="s">
        <v>39</v>
      </c>
    </row>
    <row r="63" spans="1:33" x14ac:dyDescent="0.3">
      <c r="A63" t="s">
        <v>40</v>
      </c>
      <c r="B63">
        <v>67</v>
      </c>
      <c r="C63">
        <v>75</v>
      </c>
      <c r="D63">
        <v>119</v>
      </c>
      <c r="E63">
        <v>61</v>
      </c>
      <c r="F63">
        <v>1</v>
      </c>
      <c r="G63">
        <v>3</v>
      </c>
      <c r="H63" t="s">
        <v>41</v>
      </c>
      <c r="I63">
        <v>1.94605719996616</v>
      </c>
      <c r="J63" t="s">
        <v>35</v>
      </c>
      <c r="K63">
        <v>3</v>
      </c>
      <c r="L63">
        <v>1</v>
      </c>
      <c r="M63">
        <v>61</v>
      </c>
      <c r="N63">
        <v>15</v>
      </c>
      <c r="O63">
        <v>146.47998870001101</v>
      </c>
      <c r="Q63">
        <v>146.47177619999201</v>
      </c>
      <c r="R63">
        <v>146.47998870001101</v>
      </c>
      <c r="S63">
        <v>147.463413299992</v>
      </c>
      <c r="T63">
        <v>147.463413299992</v>
      </c>
      <c r="U63">
        <v>147.479991900036</v>
      </c>
      <c r="V63">
        <v>149.41312429995699</v>
      </c>
      <c r="W63" t="s">
        <v>41</v>
      </c>
      <c r="X63">
        <v>1.94605719996616</v>
      </c>
      <c r="Y63" t="s">
        <v>35</v>
      </c>
      <c r="Z63">
        <v>4</v>
      </c>
      <c r="AA63">
        <v>1</v>
      </c>
      <c r="AB63" t="s">
        <v>36</v>
      </c>
      <c r="AC63" t="s">
        <v>37</v>
      </c>
      <c r="AE63" t="s">
        <v>38</v>
      </c>
      <c r="AF63">
        <v>59.989513822973798</v>
      </c>
      <c r="AG63" t="s">
        <v>39</v>
      </c>
    </row>
    <row r="64" spans="1:33" x14ac:dyDescent="0.3">
      <c r="A64" t="s">
        <v>33</v>
      </c>
      <c r="B64">
        <v>40</v>
      </c>
      <c r="C64">
        <v>55</v>
      </c>
      <c r="D64">
        <v>62</v>
      </c>
      <c r="E64">
        <v>62</v>
      </c>
      <c r="F64">
        <v>2</v>
      </c>
      <c r="G64">
        <v>3</v>
      </c>
      <c r="H64" t="s">
        <v>34</v>
      </c>
      <c r="I64">
        <v>0.58370830002240803</v>
      </c>
      <c r="J64" t="s">
        <v>35</v>
      </c>
      <c r="K64">
        <v>3</v>
      </c>
      <c r="L64">
        <v>2</v>
      </c>
      <c r="M64">
        <v>62</v>
      </c>
      <c r="N64">
        <v>8</v>
      </c>
      <c r="O64">
        <v>149.42959389998501</v>
      </c>
      <c r="Q64">
        <v>149.416149500058</v>
      </c>
      <c r="R64">
        <v>149.42959389998501</v>
      </c>
      <c r="S64">
        <v>150.412789199966</v>
      </c>
      <c r="T64">
        <v>150.412789199966</v>
      </c>
      <c r="U64">
        <v>150.42960909998499</v>
      </c>
      <c r="V64">
        <v>151.01335679995799</v>
      </c>
      <c r="W64" t="s">
        <v>34</v>
      </c>
      <c r="X64">
        <v>0.58370830002240803</v>
      </c>
      <c r="Y64" t="s">
        <v>35</v>
      </c>
      <c r="Z64">
        <v>4</v>
      </c>
      <c r="AA64">
        <v>1</v>
      </c>
      <c r="AB64" t="s">
        <v>36</v>
      </c>
      <c r="AC64" t="s">
        <v>37</v>
      </c>
      <c r="AE64" t="s">
        <v>38</v>
      </c>
      <c r="AF64">
        <v>59.989513822973798</v>
      </c>
      <c r="AG64" t="s">
        <v>39</v>
      </c>
    </row>
    <row r="65" spans="1:33" x14ac:dyDescent="0.3">
      <c r="A65" t="s">
        <v>40</v>
      </c>
      <c r="B65">
        <v>49</v>
      </c>
      <c r="C65">
        <v>60</v>
      </c>
      <c r="D65">
        <v>89</v>
      </c>
      <c r="E65">
        <v>63</v>
      </c>
      <c r="F65">
        <v>3</v>
      </c>
      <c r="G65">
        <v>3</v>
      </c>
      <c r="H65" t="s">
        <v>41</v>
      </c>
      <c r="I65">
        <v>0.68170640000607796</v>
      </c>
      <c r="J65" t="s">
        <v>35</v>
      </c>
      <c r="K65">
        <v>3</v>
      </c>
      <c r="L65">
        <v>3</v>
      </c>
      <c r="M65">
        <v>63</v>
      </c>
      <c r="N65">
        <v>19</v>
      </c>
      <c r="O65">
        <v>151.029738600016</v>
      </c>
      <c r="Q65">
        <v>151.020721700042</v>
      </c>
      <c r="R65">
        <v>151.029738600016</v>
      </c>
      <c r="S65">
        <v>152.01349160005299</v>
      </c>
      <c r="T65">
        <v>152.01349160005299</v>
      </c>
      <c r="U65">
        <v>152.03014279995099</v>
      </c>
      <c r="V65">
        <v>152.69681999995299</v>
      </c>
      <c r="W65" t="s">
        <v>41</v>
      </c>
      <c r="X65">
        <v>0.68170640000607796</v>
      </c>
      <c r="Y65" t="s">
        <v>35</v>
      </c>
      <c r="Z65">
        <v>4</v>
      </c>
      <c r="AA65">
        <v>1</v>
      </c>
      <c r="AB65" t="s">
        <v>36</v>
      </c>
      <c r="AC65" t="s">
        <v>37</v>
      </c>
      <c r="AE65" t="s">
        <v>38</v>
      </c>
      <c r="AF65">
        <v>59.989513822973798</v>
      </c>
      <c r="AG65" t="s">
        <v>39</v>
      </c>
    </row>
    <row r="66" spans="1:33" x14ac:dyDescent="0.3">
      <c r="A66" t="s">
        <v>33</v>
      </c>
      <c r="B66">
        <v>15</v>
      </c>
      <c r="C66">
        <v>35</v>
      </c>
      <c r="D66">
        <v>13</v>
      </c>
      <c r="E66">
        <v>64</v>
      </c>
      <c r="F66">
        <v>4</v>
      </c>
      <c r="G66">
        <v>3</v>
      </c>
      <c r="H66" t="s">
        <v>34</v>
      </c>
      <c r="I66">
        <v>0.76185710006393403</v>
      </c>
      <c r="J66" t="s">
        <v>35</v>
      </c>
      <c r="K66">
        <v>3</v>
      </c>
      <c r="L66">
        <v>4</v>
      </c>
      <c r="M66">
        <v>64</v>
      </c>
      <c r="N66">
        <v>7</v>
      </c>
      <c r="O66">
        <v>152.71327479998499</v>
      </c>
      <c r="Q66">
        <v>152.705829199985</v>
      </c>
      <c r="R66">
        <v>152.71327479998499</v>
      </c>
      <c r="S66">
        <v>153.69678879994899</v>
      </c>
      <c r="T66">
        <v>153.69678879994899</v>
      </c>
      <c r="U66">
        <v>153.71328719996299</v>
      </c>
      <c r="V66">
        <v>154.463676600018</v>
      </c>
      <c r="W66" t="s">
        <v>34</v>
      </c>
      <c r="X66">
        <v>0.76185710006393403</v>
      </c>
      <c r="Y66" t="s">
        <v>35</v>
      </c>
      <c r="Z66">
        <v>4</v>
      </c>
      <c r="AA66">
        <v>1</v>
      </c>
      <c r="AB66" t="s">
        <v>36</v>
      </c>
      <c r="AC66" t="s">
        <v>37</v>
      </c>
      <c r="AE66" t="s">
        <v>38</v>
      </c>
      <c r="AF66">
        <v>59.989513822973798</v>
      </c>
      <c r="AG66" t="s">
        <v>39</v>
      </c>
    </row>
    <row r="67" spans="1:33" x14ac:dyDescent="0.3">
      <c r="A67" t="s">
        <v>40</v>
      </c>
      <c r="B67">
        <v>49</v>
      </c>
      <c r="C67">
        <v>60</v>
      </c>
      <c r="D67">
        <v>89</v>
      </c>
      <c r="E67">
        <v>65</v>
      </c>
      <c r="F67">
        <v>5</v>
      </c>
      <c r="G67">
        <v>3</v>
      </c>
      <c r="H67" t="s">
        <v>41</v>
      </c>
      <c r="I67">
        <v>1.28724170010536</v>
      </c>
      <c r="J67" t="s">
        <v>35</v>
      </c>
      <c r="K67">
        <v>3</v>
      </c>
      <c r="L67">
        <v>5</v>
      </c>
      <c r="M67">
        <v>65</v>
      </c>
      <c r="N67">
        <v>14</v>
      </c>
      <c r="O67">
        <v>154.480280400021</v>
      </c>
      <c r="Q67">
        <v>154.471213600016</v>
      </c>
      <c r="R67">
        <v>154.480280400021</v>
      </c>
      <c r="S67">
        <v>155.463330300059</v>
      </c>
      <c r="T67">
        <v>155.463330300059</v>
      </c>
      <c r="U67">
        <v>155.480115200043</v>
      </c>
      <c r="V67">
        <v>156.76395599998</v>
      </c>
      <c r="W67" t="s">
        <v>41</v>
      </c>
      <c r="X67">
        <v>1.28724170010536</v>
      </c>
      <c r="Y67" t="s">
        <v>35</v>
      </c>
      <c r="Z67">
        <v>4</v>
      </c>
      <c r="AA67">
        <v>1</v>
      </c>
      <c r="AB67" t="s">
        <v>36</v>
      </c>
      <c r="AC67" t="s">
        <v>37</v>
      </c>
      <c r="AE67" t="s">
        <v>38</v>
      </c>
      <c r="AF67">
        <v>59.989513822973798</v>
      </c>
      <c r="AG67" t="s">
        <v>39</v>
      </c>
    </row>
    <row r="68" spans="1:33" x14ac:dyDescent="0.3">
      <c r="A68" t="s">
        <v>40</v>
      </c>
      <c r="B68">
        <v>27</v>
      </c>
      <c r="C68">
        <v>50</v>
      </c>
      <c r="D68">
        <v>21</v>
      </c>
      <c r="E68">
        <v>66</v>
      </c>
      <c r="F68">
        <v>6</v>
      </c>
      <c r="G68">
        <v>3</v>
      </c>
      <c r="H68" t="s">
        <v>41</v>
      </c>
      <c r="I68">
        <v>0.88026250002439999</v>
      </c>
      <c r="J68" t="s">
        <v>35</v>
      </c>
      <c r="K68">
        <v>3</v>
      </c>
      <c r="L68">
        <v>6</v>
      </c>
      <c r="M68">
        <v>66</v>
      </c>
      <c r="N68">
        <v>12</v>
      </c>
      <c r="O68">
        <v>156.779905000003</v>
      </c>
      <c r="Q68">
        <v>156.774085900047</v>
      </c>
      <c r="R68">
        <v>156.779905000003</v>
      </c>
      <c r="S68">
        <v>157.76343789999299</v>
      </c>
      <c r="T68">
        <v>157.76343789999299</v>
      </c>
      <c r="U68">
        <v>157.77997789997599</v>
      </c>
      <c r="V68">
        <v>158.64720160001801</v>
      </c>
      <c r="W68" t="s">
        <v>41</v>
      </c>
      <c r="X68">
        <v>0.88026250002439999</v>
      </c>
      <c r="Y68" t="s">
        <v>35</v>
      </c>
      <c r="Z68">
        <v>4</v>
      </c>
      <c r="AA68">
        <v>1</v>
      </c>
      <c r="AB68" t="s">
        <v>36</v>
      </c>
      <c r="AC68" t="s">
        <v>37</v>
      </c>
      <c r="AE68" t="s">
        <v>38</v>
      </c>
      <c r="AF68">
        <v>59.989513822973798</v>
      </c>
      <c r="AG68" t="s">
        <v>39</v>
      </c>
    </row>
    <row r="69" spans="1:33" x14ac:dyDescent="0.3">
      <c r="A69" t="s">
        <v>33</v>
      </c>
      <c r="B69">
        <v>27</v>
      </c>
      <c r="C69">
        <v>50</v>
      </c>
      <c r="D69">
        <v>21</v>
      </c>
      <c r="E69">
        <v>67</v>
      </c>
      <c r="F69">
        <v>7</v>
      </c>
      <c r="G69">
        <v>3</v>
      </c>
      <c r="H69" t="s">
        <v>34</v>
      </c>
      <c r="I69">
        <v>0.59850670001469497</v>
      </c>
      <c r="J69" t="s">
        <v>35</v>
      </c>
      <c r="K69">
        <v>3</v>
      </c>
      <c r="L69">
        <v>7</v>
      </c>
      <c r="M69">
        <v>67</v>
      </c>
      <c r="N69">
        <v>2</v>
      </c>
      <c r="O69">
        <v>158.66337349999199</v>
      </c>
      <c r="Q69">
        <v>158.655771499965</v>
      </c>
      <c r="R69">
        <v>158.66337349999199</v>
      </c>
      <c r="S69">
        <v>159.64679280004901</v>
      </c>
      <c r="T69">
        <v>159.64679280004901</v>
      </c>
      <c r="U69">
        <v>159.66358319995899</v>
      </c>
      <c r="V69">
        <v>160.24687809997701</v>
      </c>
      <c r="W69" t="s">
        <v>34</v>
      </c>
      <c r="X69">
        <v>0.59850670001469497</v>
      </c>
      <c r="Y69" t="s">
        <v>35</v>
      </c>
      <c r="Z69">
        <v>4</v>
      </c>
      <c r="AA69">
        <v>1</v>
      </c>
      <c r="AB69" t="s">
        <v>36</v>
      </c>
      <c r="AC69" t="s">
        <v>37</v>
      </c>
      <c r="AE69" t="s">
        <v>38</v>
      </c>
      <c r="AF69">
        <v>59.989513822973798</v>
      </c>
      <c r="AG69" t="s">
        <v>39</v>
      </c>
    </row>
    <row r="70" spans="1:33" x14ac:dyDescent="0.3">
      <c r="A70" t="s">
        <v>40</v>
      </c>
      <c r="B70">
        <v>15</v>
      </c>
      <c r="C70">
        <v>35</v>
      </c>
      <c r="D70">
        <v>13</v>
      </c>
      <c r="E70">
        <v>68</v>
      </c>
      <c r="F70">
        <v>8</v>
      </c>
      <c r="G70">
        <v>3</v>
      </c>
      <c r="H70" t="s">
        <v>41</v>
      </c>
      <c r="I70">
        <v>1.0906863999553</v>
      </c>
      <c r="J70" t="s">
        <v>35</v>
      </c>
      <c r="K70">
        <v>3</v>
      </c>
      <c r="L70">
        <v>8</v>
      </c>
      <c r="M70">
        <v>68</v>
      </c>
      <c r="N70">
        <v>17</v>
      </c>
      <c r="O70">
        <v>160.263379500014</v>
      </c>
      <c r="Q70">
        <v>160.25512860005199</v>
      </c>
      <c r="R70">
        <v>160.263379500014</v>
      </c>
      <c r="S70">
        <v>161.24656610004601</v>
      </c>
      <c r="T70">
        <v>161.24656610004601</v>
      </c>
      <c r="U70">
        <v>161.26343100005701</v>
      </c>
      <c r="V70">
        <v>162.34705089998801</v>
      </c>
      <c r="W70" t="s">
        <v>41</v>
      </c>
      <c r="X70">
        <v>1.0906863999553</v>
      </c>
      <c r="Y70" t="s">
        <v>35</v>
      </c>
      <c r="Z70">
        <v>4</v>
      </c>
      <c r="AA70">
        <v>1</v>
      </c>
      <c r="AB70" t="s">
        <v>36</v>
      </c>
      <c r="AC70" t="s">
        <v>37</v>
      </c>
      <c r="AE70" t="s">
        <v>38</v>
      </c>
      <c r="AF70">
        <v>59.989513822973798</v>
      </c>
      <c r="AG70" t="s">
        <v>39</v>
      </c>
    </row>
    <row r="71" spans="1:33" x14ac:dyDescent="0.3">
      <c r="A71" t="s">
        <v>33</v>
      </c>
      <c r="B71">
        <v>11</v>
      </c>
      <c r="C71">
        <v>30</v>
      </c>
      <c r="D71">
        <v>7</v>
      </c>
      <c r="E71">
        <v>69</v>
      </c>
      <c r="F71">
        <v>9</v>
      </c>
      <c r="G71">
        <v>3</v>
      </c>
      <c r="H71" t="s">
        <v>34</v>
      </c>
      <c r="I71">
        <v>0.83502889994997498</v>
      </c>
      <c r="J71" t="s">
        <v>35</v>
      </c>
      <c r="K71">
        <v>3</v>
      </c>
      <c r="L71">
        <v>9</v>
      </c>
      <c r="M71">
        <v>69</v>
      </c>
      <c r="N71">
        <v>0</v>
      </c>
      <c r="O71">
        <v>162.36323320004101</v>
      </c>
      <c r="Q71">
        <v>162.35722220002199</v>
      </c>
      <c r="R71">
        <v>162.36323320004101</v>
      </c>
      <c r="S71">
        <v>163.34641770005601</v>
      </c>
      <c r="T71">
        <v>163.34641770005601</v>
      </c>
      <c r="U71">
        <v>163.36299779999499</v>
      </c>
      <c r="V71">
        <v>164.196470699971</v>
      </c>
      <c r="W71" t="s">
        <v>34</v>
      </c>
      <c r="X71">
        <v>0.83502889994997498</v>
      </c>
      <c r="Y71" t="s">
        <v>35</v>
      </c>
      <c r="Z71">
        <v>4</v>
      </c>
      <c r="AA71">
        <v>1</v>
      </c>
      <c r="AB71" t="s">
        <v>36</v>
      </c>
      <c r="AC71" t="s">
        <v>37</v>
      </c>
      <c r="AE71" t="s">
        <v>38</v>
      </c>
      <c r="AF71">
        <v>59.989513822973798</v>
      </c>
      <c r="AG71" t="s">
        <v>39</v>
      </c>
    </row>
    <row r="72" spans="1:33" x14ac:dyDescent="0.3">
      <c r="A72" t="s">
        <v>33</v>
      </c>
      <c r="B72">
        <v>67</v>
      </c>
      <c r="C72">
        <v>75</v>
      </c>
      <c r="D72">
        <v>119</v>
      </c>
      <c r="E72">
        <v>70</v>
      </c>
      <c r="F72">
        <v>10</v>
      </c>
      <c r="G72">
        <v>3</v>
      </c>
      <c r="H72" t="s">
        <v>34</v>
      </c>
      <c r="I72">
        <v>0.73904979997314502</v>
      </c>
      <c r="J72" t="s">
        <v>35</v>
      </c>
      <c r="K72">
        <v>3</v>
      </c>
      <c r="L72">
        <v>10</v>
      </c>
      <c r="M72">
        <v>70</v>
      </c>
      <c r="N72">
        <v>5</v>
      </c>
      <c r="O72">
        <v>164.21277109999201</v>
      </c>
      <c r="Q72">
        <v>164.201490900013</v>
      </c>
      <c r="R72">
        <v>164.21277109999201</v>
      </c>
      <c r="S72">
        <v>165.19617140002001</v>
      </c>
      <c r="T72">
        <v>165.19617140002001</v>
      </c>
      <c r="U72">
        <v>165.21273639995999</v>
      </c>
      <c r="V72">
        <v>165.94636219995999</v>
      </c>
      <c r="W72" t="s">
        <v>34</v>
      </c>
      <c r="X72">
        <v>0.73904979997314502</v>
      </c>
      <c r="Y72" t="s">
        <v>35</v>
      </c>
      <c r="Z72">
        <v>4</v>
      </c>
      <c r="AA72">
        <v>1</v>
      </c>
      <c r="AB72" t="s">
        <v>36</v>
      </c>
      <c r="AC72" t="s">
        <v>37</v>
      </c>
      <c r="AE72" t="s">
        <v>38</v>
      </c>
      <c r="AF72">
        <v>59.989513822973798</v>
      </c>
      <c r="AG72" t="s">
        <v>39</v>
      </c>
    </row>
    <row r="73" spans="1:33" x14ac:dyDescent="0.3">
      <c r="A73" t="s">
        <v>40</v>
      </c>
      <c r="B73">
        <v>78</v>
      </c>
      <c r="C73">
        <v>80</v>
      </c>
      <c r="D73">
        <v>162</v>
      </c>
      <c r="E73">
        <v>71</v>
      </c>
      <c r="F73">
        <v>11</v>
      </c>
      <c r="G73">
        <v>3</v>
      </c>
      <c r="H73" t="s">
        <v>41</v>
      </c>
      <c r="I73">
        <v>1.2330221999436599</v>
      </c>
      <c r="J73" t="s">
        <v>35</v>
      </c>
      <c r="K73">
        <v>3</v>
      </c>
      <c r="L73">
        <v>11</v>
      </c>
      <c r="M73">
        <v>71</v>
      </c>
      <c r="N73">
        <v>16</v>
      </c>
      <c r="O73">
        <v>165.96291750005901</v>
      </c>
      <c r="Q73">
        <v>165.951647100038</v>
      </c>
      <c r="R73">
        <v>165.96291750005901</v>
      </c>
      <c r="S73">
        <v>166.94645359995701</v>
      </c>
      <c r="T73">
        <v>166.94645359995701</v>
      </c>
      <c r="U73">
        <v>166.96299489994999</v>
      </c>
      <c r="V73">
        <v>168.18004879995701</v>
      </c>
      <c r="W73" t="s">
        <v>41</v>
      </c>
      <c r="X73">
        <v>1.2330221999436599</v>
      </c>
      <c r="Y73" t="s">
        <v>35</v>
      </c>
      <c r="Z73">
        <v>4</v>
      </c>
      <c r="AA73">
        <v>1</v>
      </c>
      <c r="AB73" t="s">
        <v>36</v>
      </c>
      <c r="AC73" t="s">
        <v>37</v>
      </c>
      <c r="AE73" t="s">
        <v>38</v>
      </c>
      <c r="AF73">
        <v>59.989513822973798</v>
      </c>
      <c r="AG73" t="s">
        <v>39</v>
      </c>
    </row>
    <row r="74" spans="1:33" x14ac:dyDescent="0.3">
      <c r="A74" t="s">
        <v>33</v>
      </c>
      <c r="B74">
        <v>78</v>
      </c>
      <c r="C74">
        <v>80</v>
      </c>
      <c r="D74">
        <v>162</v>
      </c>
      <c r="E74">
        <v>72</v>
      </c>
      <c r="F74">
        <v>12</v>
      </c>
      <c r="G74">
        <v>3</v>
      </c>
      <c r="H74" t="s">
        <v>34</v>
      </c>
      <c r="I74">
        <v>1.43484799994621</v>
      </c>
      <c r="J74" t="s">
        <v>35</v>
      </c>
      <c r="K74">
        <v>3</v>
      </c>
      <c r="L74">
        <v>12</v>
      </c>
      <c r="M74">
        <v>72</v>
      </c>
      <c r="N74">
        <v>6</v>
      </c>
      <c r="O74">
        <v>168.19609900005099</v>
      </c>
      <c r="Q74">
        <v>168.18342699995199</v>
      </c>
      <c r="R74">
        <v>168.19609900005099</v>
      </c>
      <c r="S74">
        <v>169.17998060001901</v>
      </c>
      <c r="T74">
        <v>169.17998060001901</v>
      </c>
      <c r="U74">
        <v>169.196498000063</v>
      </c>
      <c r="V74">
        <v>170.630180499982</v>
      </c>
      <c r="W74" t="s">
        <v>34</v>
      </c>
      <c r="X74">
        <v>1.43484799994621</v>
      </c>
      <c r="Y74" t="s">
        <v>35</v>
      </c>
      <c r="Z74">
        <v>4</v>
      </c>
      <c r="AA74">
        <v>1</v>
      </c>
      <c r="AB74" t="s">
        <v>36</v>
      </c>
      <c r="AC74" t="s">
        <v>37</v>
      </c>
      <c r="AE74" t="s">
        <v>38</v>
      </c>
      <c r="AF74">
        <v>59.989513822973798</v>
      </c>
      <c r="AG74" t="s">
        <v>39</v>
      </c>
    </row>
    <row r="75" spans="1:33" x14ac:dyDescent="0.3">
      <c r="A75" t="s">
        <v>40</v>
      </c>
      <c r="B75">
        <v>40</v>
      </c>
      <c r="C75">
        <v>55</v>
      </c>
      <c r="D75">
        <v>62</v>
      </c>
      <c r="E75">
        <v>73</v>
      </c>
      <c r="F75">
        <v>13</v>
      </c>
      <c r="G75">
        <v>3</v>
      </c>
      <c r="H75" t="s">
        <v>41</v>
      </c>
      <c r="I75">
        <v>0.81843200000002903</v>
      </c>
      <c r="J75" t="s">
        <v>35</v>
      </c>
      <c r="K75">
        <v>3</v>
      </c>
      <c r="L75">
        <v>13</v>
      </c>
      <c r="M75">
        <v>73</v>
      </c>
      <c r="N75">
        <v>13</v>
      </c>
      <c r="O75">
        <v>170.64630879997199</v>
      </c>
      <c r="Q75">
        <v>170.63622620003201</v>
      </c>
      <c r="R75">
        <v>170.64630879997199</v>
      </c>
      <c r="S75">
        <v>171.629880400025</v>
      </c>
      <c r="T75">
        <v>171.629880400025</v>
      </c>
      <c r="U75">
        <v>171.64612459996701</v>
      </c>
      <c r="V75">
        <v>172.46329049998801</v>
      </c>
      <c r="W75" t="s">
        <v>41</v>
      </c>
      <c r="X75">
        <v>0.81843200000002903</v>
      </c>
      <c r="Y75" t="s">
        <v>35</v>
      </c>
      <c r="Z75">
        <v>4</v>
      </c>
      <c r="AA75">
        <v>1</v>
      </c>
      <c r="AB75" t="s">
        <v>36</v>
      </c>
      <c r="AC75" t="s">
        <v>37</v>
      </c>
      <c r="AE75" t="s">
        <v>38</v>
      </c>
      <c r="AF75">
        <v>59.989513822973798</v>
      </c>
      <c r="AG75" t="s">
        <v>39</v>
      </c>
    </row>
    <row r="76" spans="1:33" x14ac:dyDescent="0.3">
      <c r="A76" t="s">
        <v>40</v>
      </c>
      <c r="B76">
        <v>40</v>
      </c>
      <c r="C76">
        <v>55</v>
      </c>
      <c r="D76">
        <v>62</v>
      </c>
      <c r="E76">
        <v>74</v>
      </c>
      <c r="F76">
        <v>14</v>
      </c>
      <c r="G76">
        <v>3</v>
      </c>
      <c r="H76" t="s">
        <v>41</v>
      </c>
      <c r="I76">
        <v>1.1405476999934701</v>
      </c>
      <c r="J76" t="s">
        <v>35</v>
      </c>
      <c r="K76">
        <v>3</v>
      </c>
      <c r="L76">
        <v>14</v>
      </c>
      <c r="M76">
        <v>74</v>
      </c>
      <c r="N76">
        <v>18</v>
      </c>
      <c r="O76">
        <v>172.479577400023</v>
      </c>
      <c r="Q76">
        <v>172.463472499977</v>
      </c>
      <c r="R76">
        <v>172.479577400023</v>
      </c>
      <c r="S76">
        <v>173.463624099968</v>
      </c>
      <c r="T76">
        <v>173.463624099968</v>
      </c>
      <c r="U76">
        <v>173.48003019997799</v>
      </c>
      <c r="V76">
        <v>174.61416090000401</v>
      </c>
      <c r="W76" t="s">
        <v>41</v>
      </c>
      <c r="X76">
        <v>1.1405476999934701</v>
      </c>
      <c r="Y76" t="s">
        <v>35</v>
      </c>
      <c r="Z76">
        <v>4</v>
      </c>
      <c r="AA76">
        <v>1</v>
      </c>
      <c r="AB76" t="s">
        <v>36</v>
      </c>
      <c r="AC76" t="s">
        <v>37</v>
      </c>
      <c r="AE76" t="s">
        <v>38</v>
      </c>
      <c r="AF76">
        <v>59.989513822973798</v>
      </c>
      <c r="AG76" t="s">
        <v>39</v>
      </c>
    </row>
    <row r="77" spans="1:33" x14ac:dyDescent="0.3">
      <c r="A77" t="s">
        <v>33</v>
      </c>
      <c r="B77">
        <v>15</v>
      </c>
      <c r="C77">
        <v>35</v>
      </c>
      <c r="D77">
        <v>13</v>
      </c>
      <c r="E77">
        <v>75</v>
      </c>
      <c r="F77">
        <v>15</v>
      </c>
      <c r="G77">
        <v>3</v>
      </c>
      <c r="H77" t="s">
        <v>34</v>
      </c>
      <c r="I77">
        <v>0.59036229993216605</v>
      </c>
      <c r="J77" t="s">
        <v>35</v>
      </c>
      <c r="K77">
        <v>3</v>
      </c>
      <c r="L77">
        <v>15</v>
      </c>
      <c r="M77">
        <v>75</v>
      </c>
      <c r="N77">
        <v>1</v>
      </c>
      <c r="O77">
        <v>174.630188500043</v>
      </c>
      <c r="Q77">
        <v>174.62293620000099</v>
      </c>
      <c r="R77">
        <v>174.630188500043</v>
      </c>
      <c r="S77">
        <v>175.613522100029</v>
      </c>
      <c r="T77">
        <v>175.613522100029</v>
      </c>
      <c r="U77">
        <v>175.629931899951</v>
      </c>
      <c r="V77">
        <v>176.21403110003999</v>
      </c>
      <c r="W77" t="s">
        <v>34</v>
      </c>
      <c r="X77">
        <v>0.59036229993216605</v>
      </c>
      <c r="Y77" t="s">
        <v>35</v>
      </c>
      <c r="Z77">
        <v>4</v>
      </c>
      <c r="AA77">
        <v>1</v>
      </c>
      <c r="AB77" t="s">
        <v>36</v>
      </c>
      <c r="AC77" t="s">
        <v>37</v>
      </c>
      <c r="AE77" t="s">
        <v>38</v>
      </c>
      <c r="AF77">
        <v>59.989513822973798</v>
      </c>
      <c r="AG77" t="s">
        <v>39</v>
      </c>
    </row>
    <row r="78" spans="1:33" x14ac:dyDescent="0.3">
      <c r="A78" t="s">
        <v>40</v>
      </c>
      <c r="B78">
        <v>11</v>
      </c>
      <c r="C78">
        <v>30</v>
      </c>
      <c r="D78">
        <v>7</v>
      </c>
      <c r="E78">
        <v>76</v>
      </c>
      <c r="F78">
        <v>16</v>
      </c>
      <c r="G78">
        <v>3</v>
      </c>
      <c r="H78" t="s">
        <v>34</v>
      </c>
      <c r="I78">
        <v>0.77587340003810801</v>
      </c>
      <c r="J78" t="s">
        <v>35</v>
      </c>
      <c r="K78">
        <v>3</v>
      </c>
      <c r="L78">
        <v>16</v>
      </c>
      <c r="M78">
        <v>76</v>
      </c>
      <c r="N78">
        <v>10</v>
      </c>
      <c r="O78">
        <v>176.230128500028</v>
      </c>
      <c r="Q78">
        <v>176.22202390001601</v>
      </c>
      <c r="R78">
        <v>176.230128500028</v>
      </c>
      <c r="S78">
        <v>177.21364049997601</v>
      </c>
      <c r="T78">
        <v>177.21364049997601</v>
      </c>
      <c r="U78">
        <v>177.23060879996001</v>
      </c>
      <c r="V78">
        <v>177.997500800061</v>
      </c>
      <c r="W78" t="s">
        <v>34</v>
      </c>
      <c r="X78">
        <v>0.77587340003810801</v>
      </c>
      <c r="Y78" t="s">
        <v>35</v>
      </c>
      <c r="Z78">
        <v>4</v>
      </c>
      <c r="AA78">
        <v>1</v>
      </c>
      <c r="AB78" t="s">
        <v>36</v>
      </c>
      <c r="AC78" t="s">
        <v>37</v>
      </c>
      <c r="AE78" t="s">
        <v>38</v>
      </c>
      <c r="AF78">
        <v>59.989513822973798</v>
      </c>
      <c r="AG78" t="s">
        <v>39</v>
      </c>
    </row>
    <row r="79" spans="1:33" x14ac:dyDescent="0.3">
      <c r="A79" t="s">
        <v>33</v>
      </c>
      <c r="B79">
        <v>49</v>
      </c>
      <c r="C79">
        <v>60</v>
      </c>
      <c r="D79">
        <v>89</v>
      </c>
      <c r="E79">
        <v>77</v>
      </c>
      <c r="F79">
        <v>17</v>
      </c>
      <c r="G79">
        <v>3</v>
      </c>
      <c r="H79" t="s">
        <v>34</v>
      </c>
      <c r="I79">
        <v>1.6656737999291999</v>
      </c>
      <c r="J79" t="s">
        <v>35</v>
      </c>
      <c r="K79">
        <v>3</v>
      </c>
      <c r="L79">
        <v>17</v>
      </c>
      <c r="M79">
        <v>77</v>
      </c>
      <c r="N79">
        <v>4</v>
      </c>
      <c r="O79">
        <v>178.01319600001401</v>
      </c>
      <c r="Q79">
        <v>178.00539039994999</v>
      </c>
      <c r="R79">
        <v>178.01319600001401</v>
      </c>
      <c r="S79">
        <v>178.99683790002001</v>
      </c>
      <c r="T79">
        <v>178.99683790002001</v>
      </c>
      <c r="U79">
        <v>179.013496199972</v>
      </c>
      <c r="V79">
        <v>180.66383630002301</v>
      </c>
      <c r="W79" t="s">
        <v>34</v>
      </c>
      <c r="X79">
        <v>1.6656737999291999</v>
      </c>
      <c r="Y79" t="s">
        <v>35</v>
      </c>
      <c r="Z79">
        <v>4</v>
      </c>
      <c r="AA79">
        <v>1</v>
      </c>
      <c r="AB79" t="s">
        <v>36</v>
      </c>
      <c r="AC79" t="s">
        <v>37</v>
      </c>
      <c r="AE79" t="s">
        <v>38</v>
      </c>
      <c r="AF79">
        <v>59.989513822973798</v>
      </c>
      <c r="AG79" t="s">
        <v>39</v>
      </c>
    </row>
    <row r="80" spans="1:33" x14ac:dyDescent="0.3">
      <c r="A80" t="s">
        <v>40</v>
      </c>
      <c r="B80">
        <v>15</v>
      </c>
      <c r="C80">
        <v>35</v>
      </c>
      <c r="D80">
        <v>13</v>
      </c>
      <c r="E80">
        <v>78</v>
      </c>
      <c r="F80">
        <v>18</v>
      </c>
      <c r="G80">
        <v>3</v>
      </c>
      <c r="H80" t="s">
        <v>41</v>
      </c>
      <c r="I80">
        <v>0.50099179998505805</v>
      </c>
      <c r="J80" t="s">
        <v>35</v>
      </c>
      <c r="K80">
        <v>3</v>
      </c>
      <c r="L80">
        <v>18</v>
      </c>
      <c r="M80">
        <v>78</v>
      </c>
      <c r="N80">
        <v>11</v>
      </c>
      <c r="O80">
        <v>180.67986649996601</v>
      </c>
      <c r="Q80">
        <v>180.67045019997701</v>
      </c>
      <c r="R80">
        <v>180.67986649996601</v>
      </c>
      <c r="S80">
        <v>181.66308560001099</v>
      </c>
      <c r="T80">
        <v>181.66308560001099</v>
      </c>
      <c r="U80">
        <v>181.67955360002799</v>
      </c>
      <c r="V80">
        <v>182.180131400004</v>
      </c>
      <c r="W80" t="s">
        <v>41</v>
      </c>
      <c r="X80">
        <v>0.50099179998505805</v>
      </c>
      <c r="Y80" t="s">
        <v>35</v>
      </c>
      <c r="Z80">
        <v>4</v>
      </c>
      <c r="AA80">
        <v>1</v>
      </c>
      <c r="AB80" t="s">
        <v>36</v>
      </c>
      <c r="AC80" t="s">
        <v>37</v>
      </c>
      <c r="AE80" t="s">
        <v>38</v>
      </c>
      <c r="AF80">
        <v>59.989513822973798</v>
      </c>
      <c r="AG80" t="s">
        <v>39</v>
      </c>
    </row>
    <row r="81" spans="1:33" x14ac:dyDescent="0.3">
      <c r="A81" t="s">
        <v>33</v>
      </c>
      <c r="B81">
        <v>40</v>
      </c>
      <c r="C81">
        <v>55</v>
      </c>
      <c r="D81">
        <v>62</v>
      </c>
      <c r="E81">
        <v>79</v>
      </c>
      <c r="F81">
        <v>19</v>
      </c>
      <c r="G81">
        <v>3</v>
      </c>
      <c r="H81" t="s">
        <v>34</v>
      </c>
      <c r="I81">
        <v>3.8077048000413898</v>
      </c>
      <c r="J81" t="s">
        <v>35</v>
      </c>
      <c r="K81">
        <v>3</v>
      </c>
      <c r="L81">
        <v>19</v>
      </c>
      <c r="M81">
        <v>79</v>
      </c>
      <c r="N81">
        <v>3</v>
      </c>
      <c r="O81">
        <v>182.196146699949</v>
      </c>
      <c r="Q81">
        <v>182.18653900001601</v>
      </c>
      <c r="R81">
        <v>182.196146699949</v>
      </c>
      <c r="S81">
        <v>183.17988800001299</v>
      </c>
      <c r="T81">
        <v>183.17988800001299</v>
      </c>
      <c r="U81">
        <v>183.19644750002701</v>
      </c>
      <c r="V81">
        <v>186.99687340005701</v>
      </c>
      <c r="W81" t="s">
        <v>34</v>
      </c>
      <c r="X81">
        <v>3.8077048000413898</v>
      </c>
      <c r="Y81" t="s">
        <v>35</v>
      </c>
      <c r="Z81">
        <v>4</v>
      </c>
      <c r="AA81">
        <v>1</v>
      </c>
      <c r="AB81" t="s">
        <v>36</v>
      </c>
      <c r="AC81" t="s">
        <v>37</v>
      </c>
      <c r="AE81" t="s">
        <v>38</v>
      </c>
      <c r="AF81">
        <v>59.989513822973798</v>
      </c>
      <c r="AG81" t="s">
        <v>39</v>
      </c>
    </row>
    <row r="82" spans="1:33" x14ac:dyDescent="0.3">
      <c r="A82" t="s">
        <v>40</v>
      </c>
      <c r="B82">
        <v>67</v>
      </c>
      <c r="C82">
        <v>75</v>
      </c>
      <c r="D82">
        <v>119</v>
      </c>
      <c r="E82">
        <v>80</v>
      </c>
      <c r="F82">
        <v>0</v>
      </c>
      <c r="G82">
        <v>4</v>
      </c>
      <c r="H82" t="s">
        <v>41</v>
      </c>
      <c r="I82">
        <v>0.67815669998526495</v>
      </c>
      <c r="J82" t="s">
        <v>35</v>
      </c>
      <c r="K82">
        <v>4</v>
      </c>
      <c r="L82">
        <v>0</v>
      </c>
      <c r="M82">
        <v>80</v>
      </c>
      <c r="N82">
        <v>15</v>
      </c>
      <c r="O82">
        <v>187.01329989998999</v>
      </c>
      <c r="Q82">
        <v>187.00052530004101</v>
      </c>
      <c r="R82">
        <v>187.01329989998999</v>
      </c>
      <c r="S82">
        <v>187.99632070004</v>
      </c>
      <c r="T82">
        <v>187.99632070004</v>
      </c>
      <c r="U82">
        <v>188.012918799999</v>
      </c>
      <c r="V82">
        <v>188.679912599967</v>
      </c>
      <c r="W82" t="s">
        <v>41</v>
      </c>
      <c r="X82">
        <v>0.67815669998526495</v>
      </c>
      <c r="Y82" t="s">
        <v>35</v>
      </c>
      <c r="Z82">
        <v>4</v>
      </c>
      <c r="AA82">
        <v>1</v>
      </c>
      <c r="AB82" t="s">
        <v>36</v>
      </c>
      <c r="AC82" t="s">
        <v>37</v>
      </c>
      <c r="AE82" t="s">
        <v>38</v>
      </c>
      <c r="AF82">
        <v>59.989513822973798</v>
      </c>
      <c r="AG82" t="s">
        <v>39</v>
      </c>
    </row>
    <row r="83" spans="1:33" x14ac:dyDescent="0.3">
      <c r="A83" t="s">
        <v>33</v>
      </c>
      <c r="B83">
        <v>15</v>
      </c>
      <c r="C83">
        <v>35</v>
      </c>
      <c r="D83">
        <v>13</v>
      </c>
      <c r="E83">
        <v>81</v>
      </c>
      <c r="F83">
        <v>1</v>
      </c>
      <c r="G83">
        <v>4</v>
      </c>
      <c r="H83" t="s">
        <v>34</v>
      </c>
      <c r="I83">
        <v>2.1103748000459701</v>
      </c>
      <c r="J83" t="s">
        <v>35</v>
      </c>
      <c r="K83">
        <v>4</v>
      </c>
      <c r="L83">
        <v>1</v>
      </c>
      <c r="M83">
        <v>81</v>
      </c>
      <c r="N83">
        <v>7</v>
      </c>
      <c r="O83">
        <v>188.69650640001001</v>
      </c>
      <c r="Q83">
        <v>188.68388030002799</v>
      </c>
      <c r="R83">
        <v>188.69650640001001</v>
      </c>
      <c r="S83">
        <v>189.67978460003999</v>
      </c>
      <c r="T83">
        <v>189.67978460003999</v>
      </c>
      <c r="U83">
        <v>189.69615229999101</v>
      </c>
      <c r="V83">
        <v>191.79653469996899</v>
      </c>
      <c r="W83" t="s">
        <v>34</v>
      </c>
      <c r="X83">
        <v>2.1103748000459701</v>
      </c>
      <c r="Y83" t="s">
        <v>35</v>
      </c>
      <c r="Z83">
        <v>4</v>
      </c>
      <c r="AA83">
        <v>1</v>
      </c>
      <c r="AB83" t="s">
        <v>36</v>
      </c>
      <c r="AC83" t="s">
        <v>37</v>
      </c>
      <c r="AE83" t="s">
        <v>38</v>
      </c>
      <c r="AF83">
        <v>59.989513822973798</v>
      </c>
      <c r="AG83" t="s">
        <v>39</v>
      </c>
    </row>
    <row r="84" spans="1:33" x14ac:dyDescent="0.3">
      <c r="A84" t="s">
        <v>33</v>
      </c>
      <c r="B84">
        <v>78</v>
      </c>
      <c r="C84">
        <v>80</v>
      </c>
      <c r="D84">
        <v>162</v>
      </c>
      <c r="E84">
        <v>82</v>
      </c>
      <c r="F84">
        <v>2</v>
      </c>
      <c r="G84">
        <v>4</v>
      </c>
      <c r="H84" t="s">
        <v>34</v>
      </c>
      <c r="I84">
        <v>0.78159090003464304</v>
      </c>
      <c r="J84" t="s">
        <v>35</v>
      </c>
      <c r="K84">
        <v>4</v>
      </c>
      <c r="L84">
        <v>2</v>
      </c>
      <c r="M84">
        <v>82</v>
      </c>
      <c r="N84">
        <v>6</v>
      </c>
      <c r="O84">
        <v>191.81305909994899</v>
      </c>
      <c r="Q84">
        <v>191.799920000019</v>
      </c>
      <c r="R84">
        <v>191.81305909994899</v>
      </c>
      <c r="S84">
        <v>192.79650229995599</v>
      </c>
      <c r="T84">
        <v>192.79650229995599</v>
      </c>
      <c r="U84">
        <v>192.81306029995901</v>
      </c>
      <c r="V84">
        <v>193.58004529995301</v>
      </c>
      <c r="W84" t="s">
        <v>34</v>
      </c>
      <c r="X84">
        <v>0.78159090003464304</v>
      </c>
      <c r="Y84" t="s">
        <v>35</v>
      </c>
      <c r="Z84">
        <v>4</v>
      </c>
      <c r="AA84">
        <v>1</v>
      </c>
      <c r="AB84" t="s">
        <v>36</v>
      </c>
      <c r="AC84" t="s">
        <v>37</v>
      </c>
      <c r="AE84" t="s">
        <v>38</v>
      </c>
      <c r="AF84">
        <v>59.989513822973798</v>
      </c>
      <c r="AG84" t="s">
        <v>39</v>
      </c>
    </row>
    <row r="85" spans="1:33" x14ac:dyDescent="0.3">
      <c r="A85" t="s">
        <v>40</v>
      </c>
      <c r="B85">
        <v>27</v>
      </c>
      <c r="C85">
        <v>50</v>
      </c>
      <c r="D85">
        <v>21</v>
      </c>
      <c r="E85">
        <v>83</v>
      </c>
      <c r="F85">
        <v>3</v>
      </c>
      <c r="G85">
        <v>4</v>
      </c>
      <c r="H85" t="s">
        <v>41</v>
      </c>
      <c r="I85">
        <v>2.55823109997436</v>
      </c>
      <c r="J85" t="s">
        <v>35</v>
      </c>
      <c r="K85">
        <v>4</v>
      </c>
      <c r="L85">
        <v>3</v>
      </c>
      <c r="M85">
        <v>83</v>
      </c>
      <c r="N85">
        <v>12</v>
      </c>
      <c r="O85">
        <v>193.59602409997001</v>
      </c>
      <c r="Q85">
        <v>193.58399650000499</v>
      </c>
      <c r="R85">
        <v>193.59602409997001</v>
      </c>
      <c r="S85">
        <v>194.579708399949</v>
      </c>
      <c r="T85">
        <v>194.579708399949</v>
      </c>
      <c r="U85">
        <v>194.59621320001301</v>
      </c>
      <c r="V85">
        <v>197.14626790001</v>
      </c>
      <c r="W85" t="s">
        <v>41</v>
      </c>
      <c r="X85">
        <v>2.55823109997436</v>
      </c>
      <c r="Y85" t="s">
        <v>35</v>
      </c>
      <c r="Z85">
        <v>4</v>
      </c>
      <c r="AA85">
        <v>1</v>
      </c>
      <c r="AB85" t="s">
        <v>36</v>
      </c>
      <c r="AC85" t="s">
        <v>37</v>
      </c>
      <c r="AE85" t="s">
        <v>38</v>
      </c>
      <c r="AF85">
        <v>59.989513822973798</v>
      </c>
      <c r="AG85" t="s">
        <v>39</v>
      </c>
    </row>
    <row r="86" spans="1:33" x14ac:dyDescent="0.3">
      <c r="A86" t="s">
        <v>33</v>
      </c>
      <c r="B86">
        <v>40</v>
      </c>
      <c r="C86">
        <v>55</v>
      </c>
      <c r="D86">
        <v>62</v>
      </c>
      <c r="E86">
        <v>84</v>
      </c>
      <c r="F86">
        <v>4</v>
      </c>
      <c r="G86">
        <v>4</v>
      </c>
      <c r="H86" t="s">
        <v>34</v>
      </c>
      <c r="I86">
        <v>0.67022690002340801</v>
      </c>
      <c r="J86" t="s">
        <v>35</v>
      </c>
      <c r="K86">
        <v>4</v>
      </c>
      <c r="L86">
        <v>4</v>
      </c>
      <c r="M86">
        <v>84</v>
      </c>
      <c r="N86">
        <v>8</v>
      </c>
      <c r="O86">
        <v>197.16275200003199</v>
      </c>
      <c r="Q86">
        <v>197.150759599986</v>
      </c>
      <c r="R86">
        <v>197.16275200003199</v>
      </c>
      <c r="S86">
        <v>198.146654300042</v>
      </c>
      <c r="T86">
        <v>198.146654300042</v>
      </c>
      <c r="U86">
        <v>198.16340600000601</v>
      </c>
      <c r="V86">
        <v>198.83041669998701</v>
      </c>
      <c r="W86" t="s">
        <v>34</v>
      </c>
      <c r="X86">
        <v>0.67022690002340801</v>
      </c>
      <c r="Y86" t="s">
        <v>35</v>
      </c>
      <c r="Z86">
        <v>4</v>
      </c>
      <c r="AA86">
        <v>1</v>
      </c>
      <c r="AB86" t="s">
        <v>36</v>
      </c>
      <c r="AC86" t="s">
        <v>37</v>
      </c>
      <c r="AE86" t="s">
        <v>38</v>
      </c>
      <c r="AF86">
        <v>59.989513822973798</v>
      </c>
      <c r="AG86" t="s">
        <v>39</v>
      </c>
    </row>
    <row r="87" spans="1:33" x14ac:dyDescent="0.3">
      <c r="A87" t="s">
        <v>33</v>
      </c>
      <c r="B87">
        <v>49</v>
      </c>
      <c r="C87">
        <v>60</v>
      </c>
      <c r="D87">
        <v>89</v>
      </c>
      <c r="E87">
        <v>85</v>
      </c>
      <c r="F87">
        <v>5</v>
      </c>
      <c r="G87">
        <v>4</v>
      </c>
      <c r="H87" t="s">
        <v>34</v>
      </c>
      <c r="I87">
        <v>0.70320399990305305</v>
      </c>
      <c r="J87" t="s">
        <v>35</v>
      </c>
      <c r="K87">
        <v>4</v>
      </c>
      <c r="L87">
        <v>5</v>
      </c>
      <c r="M87">
        <v>85</v>
      </c>
      <c r="N87">
        <v>9</v>
      </c>
      <c r="O87">
        <v>198.846305200015</v>
      </c>
      <c r="Q87">
        <v>198.83772880001899</v>
      </c>
      <c r="R87">
        <v>198.846305200015</v>
      </c>
      <c r="S87">
        <v>199.82967819995201</v>
      </c>
      <c r="T87">
        <v>199.82967819995201</v>
      </c>
      <c r="U87">
        <v>199.84631070005699</v>
      </c>
      <c r="V87">
        <v>200.547286299988</v>
      </c>
      <c r="W87" t="s">
        <v>34</v>
      </c>
      <c r="X87">
        <v>0.70320399990305305</v>
      </c>
      <c r="Y87" t="s">
        <v>35</v>
      </c>
      <c r="Z87">
        <v>4</v>
      </c>
      <c r="AA87">
        <v>1</v>
      </c>
      <c r="AB87" t="s">
        <v>36</v>
      </c>
      <c r="AC87" t="s">
        <v>37</v>
      </c>
      <c r="AE87" t="s">
        <v>38</v>
      </c>
      <c r="AF87">
        <v>59.989513822973798</v>
      </c>
      <c r="AG87" t="s">
        <v>39</v>
      </c>
    </row>
    <row r="88" spans="1:33" x14ac:dyDescent="0.3">
      <c r="A88" t="s">
        <v>33</v>
      </c>
      <c r="B88">
        <v>27</v>
      </c>
      <c r="C88">
        <v>50</v>
      </c>
      <c r="D88">
        <v>21</v>
      </c>
      <c r="E88">
        <v>86</v>
      </c>
      <c r="F88">
        <v>6</v>
      </c>
      <c r="G88">
        <v>4</v>
      </c>
      <c r="H88" t="s">
        <v>34</v>
      </c>
      <c r="I88">
        <v>1.7492182999849299</v>
      </c>
      <c r="J88" t="s">
        <v>35</v>
      </c>
      <c r="K88">
        <v>4</v>
      </c>
      <c r="L88">
        <v>6</v>
      </c>
      <c r="M88">
        <v>86</v>
      </c>
      <c r="N88">
        <v>2</v>
      </c>
      <c r="O88">
        <v>200.56319270003499</v>
      </c>
      <c r="Q88">
        <v>200.558309899992</v>
      </c>
      <c r="R88">
        <v>200.56319270003499</v>
      </c>
      <c r="S88">
        <v>201.546836000052</v>
      </c>
      <c r="T88">
        <v>201.546836000052</v>
      </c>
      <c r="U88">
        <v>201.56329610000799</v>
      </c>
      <c r="V88">
        <v>203.29763369995601</v>
      </c>
      <c r="W88" t="s">
        <v>34</v>
      </c>
      <c r="X88">
        <v>1.7492182999849299</v>
      </c>
      <c r="Y88" t="s">
        <v>35</v>
      </c>
      <c r="Z88">
        <v>4</v>
      </c>
      <c r="AA88">
        <v>1</v>
      </c>
      <c r="AB88" t="s">
        <v>36</v>
      </c>
      <c r="AC88" t="s">
        <v>37</v>
      </c>
      <c r="AE88" t="s">
        <v>38</v>
      </c>
      <c r="AF88">
        <v>59.989513822973798</v>
      </c>
      <c r="AG88" t="s">
        <v>39</v>
      </c>
    </row>
    <row r="89" spans="1:33" x14ac:dyDescent="0.3">
      <c r="A89" t="s">
        <v>40</v>
      </c>
      <c r="B89">
        <v>78</v>
      </c>
      <c r="C89">
        <v>80</v>
      </c>
      <c r="D89">
        <v>162</v>
      </c>
      <c r="E89">
        <v>87</v>
      </c>
      <c r="F89">
        <v>7</v>
      </c>
      <c r="G89">
        <v>4</v>
      </c>
      <c r="H89" t="s">
        <v>41</v>
      </c>
      <c r="I89">
        <v>1.04292120004538</v>
      </c>
      <c r="J89" t="s">
        <v>35</v>
      </c>
      <c r="K89">
        <v>4</v>
      </c>
      <c r="L89">
        <v>7</v>
      </c>
      <c r="M89">
        <v>87</v>
      </c>
      <c r="N89">
        <v>16</v>
      </c>
      <c r="O89">
        <v>203.313428599969</v>
      </c>
      <c r="Q89">
        <v>203.307828100048</v>
      </c>
      <c r="R89">
        <v>203.313428599969</v>
      </c>
      <c r="S89">
        <v>204.296866900054</v>
      </c>
      <c r="T89">
        <v>204.296866900054</v>
      </c>
      <c r="U89">
        <v>204.31339979998299</v>
      </c>
      <c r="V89">
        <v>205.34618890006001</v>
      </c>
      <c r="W89" t="s">
        <v>41</v>
      </c>
      <c r="X89">
        <v>1.04292120004538</v>
      </c>
      <c r="Y89" t="s">
        <v>35</v>
      </c>
      <c r="Z89">
        <v>4</v>
      </c>
      <c r="AA89">
        <v>1</v>
      </c>
      <c r="AB89" t="s">
        <v>36</v>
      </c>
      <c r="AC89" t="s">
        <v>37</v>
      </c>
      <c r="AE89" t="s">
        <v>38</v>
      </c>
      <c r="AF89">
        <v>59.989513822973798</v>
      </c>
      <c r="AG89" t="s">
        <v>39</v>
      </c>
    </row>
    <row r="90" spans="1:33" x14ac:dyDescent="0.3">
      <c r="A90" t="s">
        <v>33</v>
      </c>
      <c r="B90">
        <v>11</v>
      </c>
      <c r="C90">
        <v>30</v>
      </c>
      <c r="D90">
        <v>7</v>
      </c>
      <c r="E90">
        <v>88</v>
      </c>
      <c r="F90">
        <v>8</v>
      </c>
      <c r="G90">
        <v>4</v>
      </c>
      <c r="H90" t="s">
        <v>41</v>
      </c>
      <c r="I90">
        <v>0.69038349995389503</v>
      </c>
      <c r="J90" t="s">
        <v>35</v>
      </c>
      <c r="K90">
        <v>4</v>
      </c>
      <c r="L90">
        <v>8</v>
      </c>
      <c r="M90">
        <v>88</v>
      </c>
      <c r="N90">
        <v>0</v>
      </c>
      <c r="O90">
        <v>205.36295900004899</v>
      </c>
      <c r="Q90">
        <v>205.348802800057</v>
      </c>
      <c r="R90">
        <v>205.36295900004899</v>
      </c>
      <c r="S90">
        <v>206.34671910002299</v>
      </c>
      <c r="T90">
        <v>206.34671910002299</v>
      </c>
      <c r="U90">
        <v>206.363512099953</v>
      </c>
      <c r="V90">
        <v>207.04722029995099</v>
      </c>
      <c r="W90" t="s">
        <v>41</v>
      </c>
      <c r="X90">
        <v>0.69038349995389503</v>
      </c>
      <c r="Y90" t="s">
        <v>35</v>
      </c>
      <c r="Z90">
        <v>4</v>
      </c>
      <c r="AA90">
        <v>1</v>
      </c>
      <c r="AB90" t="s">
        <v>36</v>
      </c>
      <c r="AC90" t="s">
        <v>37</v>
      </c>
      <c r="AE90" t="s">
        <v>38</v>
      </c>
      <c r="AF90">
        <v>59.989513822973798</v>
      </c>
      <c r="AG90" t="s">
        <v>39</v>
      </c>
    </row>
    <row r="91" spans="1:33" x14ac:dyDescent="0.3">
      <c r="A91" t="s">
        <v>33</v>
      </c>
      <c r="B91">
        <v>40</v>
      </c>
      <c r="C91">
        <v>55</v>
      </c>
      <c r="D91">
        <v>62</v>
      </c>
      <c r="E91">
        <v>89</v>
      </c>
      <c r="F91">
        <v>9</v>
      </c>
      <c r="G91">
        <v>4</v>
      </c>
      <c r="H91" t="s">
        <v>34</v>
      </c>
      <c r="I91">
        <v>0.77597260009497404</v>
      </c>
      <c r="J91" t="s">
        <v>35</v>
      </c>
      <c r="K91">
        <v>4</v>
      </c>
      <c r="L91">
        <v>9</v>
      </c>
      <c r="M91">
        <v>89</v>
      </c>
      <c r="N91">
        <v>3</v>
      </c>
      <c r="O91">
        <v>207.063517599948</v>
      </c>
      <c r="Q91">
        <v>207.054926199954</v>
      </c>
      <c r="R91">
        <v>207.063517599948</v>
      </c>
      <c r="S91">
        <v>208.046868000063</v>
      </c>
      <c r="T91">
        <v>208.046868000063</v>
      </c>
      <c r="U91">
        <v>208.06352960004</v>
      </c>
      <c r="V91">
        <v>208.82995270006299</v>
      </c>
      <c r="W91" t="s">
        <v>34</v>
      </c>
      <c r="X91">
        <v>0.77597260009497404</v>
      </c>
      <c r="Y91" t="s">
        <v>35</v>
      </c>
      <c r="Z91">
        <v>4</v>
      </c>
      <c r="AA91">
        <v>1</v>
      </c>
      <c r="AB91" t="s">
        <v>36</v>
      </c>
      <c r="AC91" t="s">
        <v>37</v>
      </c>
      <c r="AE91" t="s">
        <v>38</v>
      </c>
      <c r="AF91">
        <v>59.989513822973798</v>
      </c>
      <c r="AG91" t="s">
        <v>39</v>
      </c>
    </row>
    <row r="92" spans="1:33" x14ac:dyDescent="0.3">
      <c r="A92" t="s">
        <v>33</v>
      </c>
      <c r="B92">
        <v>15</v>
      </c>
      <c r="C92">
        <v>35</v>
      </c>
      <c r="D92">
        <v>13</v>
      </c>
      <c r="E92">
        <v>90</v>
      </c>
      <c r="F92">
        <v>10</v>
      </c>
      <c r="G92">
        <v>4</v>
      </c>
      <c r="H92" t="s">
        <v>34</v>
      </c>
      <c r="I92">
        <v>1.16428839997388</v>
      </c>
      <c r="J92" t="s">
        <v>35</v>
      </c>
      <c r="K92">
        <v>4</v>
      </c>
      <c r="L92">
        <v>10</v>
      </c>
      <c r="M92">
        <v>90</v>
      </c>
      <c r="N92">
        <v>1</v>
      </c>
      <c r="O92">
        <v>208.84611240006001</v>
      </c>
      <c r="Q92">
        <v>208.835135400062</v>
      </c>
      <c r="R92">
        <v>208.84611240006001</v>
      </c>
      <c r="S92">
        <v>209.83055980002899</v>
      </c>
      <c r="T92">
        <v>209.83055980002899</v>
      </c>
      <c r="U92">
        <v>209.84695529995901</v>
      </c>
      <c r="V92">
        <v>210.996534200035</v>
      </c>
      <c r="W92" t="s">
        <v>34</v>
      </c>
      <c r="X92">
        <v>1.16428839997388</v>
      </c>
      <c r="Y92" t="s">
        <v>35</v>
      </c>
      <c r="Z92">
        <v>4</v>
      </c>
      <c r="AA92">
        <v>1</v>
      </c>
      <c r="AB92" t="s">
        <v>36</v>
      </c>
      <c r="AC92" t="s">
        <v>37</v>
      </c>
      <c r="AE92" t="s">
        <v>38</v>
      </c>
      <c r="AF92">
        <v>59.989513822973798</v>
      </c>
      <c r="AG92" t="s">
        <v>39</v>
      </c>
    </row>
    <row r="93" spans="1:33" x14ac:dyDescent="0.3">
      <c r="A93" t="s">
        <v>40</v>
      </c>
      <c r="B93">
        <v>40</v>
      </c>
      <c r="C93">
        <v>55</v>
      </c>
      <c r="D93">
        <v>62</v>
      </c>
      <c r="E93">
        <v>91</v>
      </c>
      <c r="F93">
        <v>11</v>
      </c>
      <c r="G93">
        <v>4</v>
      </c>
      <c r="H93" t="s">
        <v>41</v>
      </c>
      <c r="I93">
        <v>0.93039820005651497</v>
      </c>
      <c r="J93" t="s">
        <v>35</v>
      </c>
      <c r="K93">
        <v>4</v>
      </c>
      <c r="L93">
        <v>11</v>
      </c>
      <c r="M93">
        <v>91</v>
      </c>
      <c r="N93">
        <v>13</v>
      </c>
      <c r="O93">
        <v>211.01306879997699</v>
      </c>
      <c r="Q93">
        <v>211.001215000054</v>
      </c>
      <c r="R93">
        <v>211.01306879997699</v>
      </c>
      <c r="S93">
        <v>211.99800210003701</v>
      </c>
      <c r="T93">
        <v>211.99800210003701</v>
      </c>
      <c r="U93">
        <v>212.01462170004299</v>
      </c>
      <c r="V93">
        <v>212.93013949994901</v>
      </c>
      <c r="W93" t="s">
        <v>41</v>
      </c>
      <c r="X93">
        <v>0.93039820005651497</v>
      </c>
      <c r="Y93" t="s">
        <v>35</v>
      </c>
      <c r="Z93">
        <v>4</v>
      </c>
      <c r="AA93">
        <v>1</v>
      </c>
      <c r="AB93" t="s">
        <v>36</v>
      </c>
      <c r="AC93" t="s">
        <v>37</v>
      </c>
      <c r="AE93" t="s">
        <v>38</v>
      </c>
      <c r="AF93">
        <v>59.989513822973798</v>
      </c>
      <c r="AG93" t="s">
        <v>39</v>
      </c>
    </row>
    <row r="94" spans="1:33" x14ac:dyDescent="0.3">
      <c r="A94" t="s">
        <v>40</v>
      </c>
      <c r="B94">
        <v>49</v>
      </c>
      <c r="C94">
        <v>60</v>
      </c>
      <c r="D94">
        <v>89</v>
      </c>
      <c r="E94">
        <v>92</v>
      </c>
      <c r="F94">
        <v>12</v>
      </c>
      <c r="G94">
        <v>4</v>
      </c>
      <c r="H94" t="s">
        <v>41</v>
      </c>
      <c r="I94">
        <v>1.93646910006646</v>
      </c>
      <c r="J94" t="s">
        <v>35</v>
      </c>
      <c r="K94">
        <v>4</v>
      </c>
      <c r="L94">
        <v>12</v>
      </c>
      <c r="M94">
        <v>92</v>
      </c>
      <c r="N94">
        <v>14</v>
      </c>
      <c r="O94">
        <v>212.94705079996399</v>
      </c>
      <c r="Q94">
        <v>212.93907229998101</v>
      </c>
      <c r="R94">
        <v>212.94705079996399</v>
      </c>
      <c r="S94">
        <v>213.93007929995599</v>
      </c>
      <c r="T94">
        <v>213.93007929995599</v>
      </c>
      <c r="U94">
        <v>213.94674020004399</v>
      </c>
      <c r="V94">
        <v>215.88089050003299</v>
      </c>
      <c r="W94" t="s">
        <v>41</v>
      </c>
      <c r="X94">
        <v>1.93646910006646</v>
      </c>
      <c r="Y94" t="s">
        <v>35</v>
      </c>
      <c r="Z94">
        <v>4</v>
      </c>
      <c r="AA94">
        <v>1</v>
      </c>
      <c r="AB94" t="s">
        <v>36</v>
      </c>
      <c r="AC94" t="s">
        <v>37</v>
      </c>
      <c r="AE94" t="s">
        <v>38</v>
      </c>
      <c r="AF94">
        <v>59.989513822973798</v>
      </c>
      <c r="AG94" t="s">
        <v>39</v>
      </c>
    </row>
    <row r="95" spans="1:33" x14ac:dyDescent="0.3">
      <c r="A95" t="s">
        <v>40</v>
      </c>
      <c r="B95">
        <v>15</v>
      </c>
      <c r="C95">
        <v>35</v>
      </c>
      <c r="D95">
        <v>13</v>
      </c>
      <c r="E95">
        <v>93</v>
      </c>
      <c r="F95">
        <v>13</v>
      </c>
      <c r="G95">
        <v>4</v>
      </c>
      <c r="H95" t="s">
        <v>41</v>
      </c>
      <c r="I95">
        <v>0.62701079994440001</v>
      </c>
      <c r="J95" t="s">
        <v>35</v>
      </c>
      <c r="K95">
        <v>4</v>
      </c>
      <c r="L95">
        <v>13</v>
      </c>
      <c r="M95">
        <v>93</v>
      </c>
      <c r="N95">
        <v>11</v>
      </c>
      <c r="O95">
        <v>215.89681770000601</v>
      </c>
      <c r="Q95">
        <v>215.888611900038</v>
      </c>
      <c r="R95">
        <v>215.89681770000601</v>
      </c>
      <c r="S95">
        <v>216.88021440000699</v>
      </c>
      <c r="T95">
        <v>216.88021440000699</v>
      </c>
      <c r="U95">
        <v>216.89677740004799</v>
      </c>
      <c r="V95">
        <v>217.514165600063</v>
      </c>
      <c r="W95" t="s">
        <v>41</v>
      </c>
      <c r="X95">
        <v>0.62701079994440001</v>
      </c>
      <c r="Y95" t="s">
        <v>35</v>
      </c>
      <c r="Z95">
        <v>4</v>
      </c>
      <c r="AA95">
        <v>1</v>
      </c>
      <c r="AB95" t="s">
        <v>36</v>
      </c>
      <c r="AC95" t="s">
        <v>37</v>
      </c>
      <c r="AE95" t="s">
        <v>38</v>
      </c>
      <c r="AF95">
        <v>59.989513822973798</v>
      </c>
      <c r="AG95" t="s">
        <v>39</v>
      </c>
    </row>
    <row r="96" spans="1:33" x14ac:dyDescent="0.3">
      <c r="A96" t="s">
        <v>40</v>
      </c>
      <c r="B96">
        <v>15</v>
      </c>
      <c r="C96">
        <v>35</v>
      </c>
      <c r="D96">
        <v>13</v>
      </c>
      <c r="E96">
        <v>94</v>
      </c>
      <c r="F96">
        <v>14</v>
      </c>
      <c r="G96">
        <v>4</v>
      </c>
      <c r="H96" t="s">
        <v>41</v>
      </c>
      <c r="I96">
        <v>0.78808820003177904</v>
      </c>
      <c r="J96" t="s">
        <v>35</v>
      </c>
      <c r="K96">
        <v>4</v>
      </c>
      <c r="L96">
        <v>14</v>
      </c>
      <c r="M96">
        <v>94</v>
      </c>
      <c r="N96">
        <v>17</v>
      </c>
      <c r="O96">
        <v>217.53015010000601</v>
      </c>
      <c r="Q96">
        <v>217.51449390000101</v>
      </c>
      <c r="R96">
        <v>217.53015010000601</v>
      </c>
      <c r="S96">
        <v>218.513577300007</v>
      </c>
      <c r="T96">
        <v>218.513577300007</v>
      </c>
      <c r="U96">
        <v>218.530128599959</v>
      </c>
      <c r="V96">
        <v>219.31434369995199</v>
      </c>
      <c r="W96" t="s">
        <v>41</v>
      </c>
      <c r="X96">
        <v>0.78808820003177904</v>
      </c>
      <c r="Y96" t="s">
        <v>35</v>
      </c>
      <c r="Z96">
        <v>4</v>
      </c>
      <c r="AA96">
        <v>1</v>
      </c>
      <c r="AB96" t="s">
        <v>36</v>
      </c>
      <c r="AC96" t="s">
        <v>37</v>
      </c>
      <c r="AE96" t="s">
        <v>38</v>
      </c>
      <c r="AF96">
        <v>59.989513822973798</v>
      </c>
      <c r="AG96" t="s">
        <v>39</v>
      </c>
    </row>
    <row r="97" spans="1:33" x14ac:dyDescent="0.3">
      <c r="A97" t="s">
        <v>33</v>
      </c>
      <c r="B97">
        <v>49</v>
      </c>
      <c r="C97">
        <v>60</v>
      </c>
      <c r="D97">
        <v>89</v>
      </c>
      <c r="E97">
        <v>95</v>
      </c>
      <c r="F97">
        <v>15</v>
      </c>
      <c r="G97">
        <v>4</v>
      </c>
      <c r="H97" t="s">
        <v>34</v>
      </c>
      <c r="I97">
        <v>0.84445209999103099</v>
      </c>
      <c r="J97" t="s">
        <v>35</v>
      </c>
      <c r="K97">
        <v>4</v>
      </c>
      <c r="L97">
        <v>15</v>
      </c>
      <c r="M97">
        <v>95</v>
      </c>
      <c r="N97">
        <v>4</v>
      </c>
      <c r="O97">
        <v>219.330275899963</v>
      </c>
      <c r="Q97">
        <v>219.322340899962</v>
      </c>
      <c r="R97">
        <v>219.330275899963</v>
      </c>
      <c r="S97">
        <v>220.330255600041</v>
      </c>
      <c r="T97">
        <v>220.330255600041</v>
      </c>
      <c r="U97">
        <v>220.330255600041</v>
      </c>
      <c r="V97">
        <v>221.18087959999599</v>
      </c>
      <c r="W97" t="s">
        <v>34</v>
      </c>
      <c r="X97">
        <v>0.84445209999103099</v>
      </c>
      <c r="Y97" t="s">
        <v>35</v>
      </c>
      <c r="Z97">
        <v>4</v>
      </c>
      <c r="AA97">
        <v>1</v>
      </c>
      <c r="AB97" t="s">
        <v>36</v>
      </c>
      <c r="AC97" t="s">
        <v>37</v>
      </c>
      <c r="AE97" t="s">
        <v>38</v>
      </c>
      <c r="AF97">
        <v>59.989513822973798</v>
      </c>
      <c r="AG97" t="s">
        <v>39</v>
      </c>
    </row>
    <row r="98" spans="1:33" x14ac:dyDescent="0.3">
      <c r="A98" t="s">
        <v>40</v>
      </c>
      <c r="B98">
        <v>40</v>
      </c>
      <c r="C98">
        <v>55</v>
      </c>
      <c r="D98">
        <v>62</v>
      </c>
      <c r="E98">
        <v>96</v>
      </c>
      <c r="F98">
        <v>16</v>
      </c>
      <c r="G98">
        <v>4</v>
      </c>
      <c r="H98" t="s">
        <v>41</v>
      </c>
      <c r="I98">
        <v>0.98609550006221902</v>
      </c>
      <c r="J98" t="s">
        <v>35</v>
      </c>
      <c r="K98">
        <v>4</v>
      </c>
      <c r="L98">
        <v>16</v>
      </c>
      <c r="M98">
        <v>96</v>
      </c>
      <c r="N98">
        <v>18</v>
      </c>
      <c r="O98">
        <v>221.196708900039</v>
      </c>
      <c r="Q98">
        <v>221.18986110005</v>
      </c>
      <c r="R98">
        <v>221.196708900039</v>
      </c>
      <c r="S98">
        <v>222.18014609999901</v>
      </c>
      <c r="T98">
        <v>222.18014609999901</v>
      </c>
      <c r="U98">
        <v>222.196762999985</v>
      </c>
      <c r="V98">
        <v>223.18087799998401</v>
      </c>
      <c r="W98" t="s">
        <v>41</v>
      </c>
      <c r="X98">
        <v>0.98609550006221902</v>
      </c>
      <c r="Y98" t="s">
        <v>35</v>
      </c>
      <c r="Z98">
        <v>4</v>
      </c>
      <c r="AA98">
        <v>1</v>
      </c>
      <c r="AB98" t="s">
        <v>36</v>
      </c>
      <c r="AC98" t="s">
        <v>37</v>
      </c>
      <c r="AE98" t="s">
        <v>38</v>
      </c>
      <c r="AF98">
        <v>59.989513822973798</v>
      </c>
      <c r="AG98" t="s">
        <v>39</v>
      </c>
    </row>
    <row r="99" spans="1:33" x14ac:dyDescent="0.3">
      <c r="A99" t="s">
        <v>33</v>
      </c>
      <c r="B99">
        <v>67</v>
      </c>
      <c r="C99">
        <v>75</v>
      </c>
      <c r="D99">
        <v>119</v>
      </c>
      <c r="E99">
        <v>97</v>
      </c>
      <c r="F99">
        <v>17</v>
      </c>
      <c r="G99">
        <v>4</v>
      </c>
      <c r="H99" t="s">
        <v>34</v>
      </c>
      <c r="I99">
        <v>0.58988119999412403</v>
      </c>
      <c r="J99" t="s">
        <v>35</v>
      </c>
      <c r="K99">
        <v>4</v>
      </c>
      <c r="L99">
        <v>17</v>
      </c>
      <c r="M99">
        <v>97</v>
      </c>
      <c r="N99">
        <v>5</v>
      </c>
      <c r="O99">
        <v>223.196808899985</v>
      </c>
      <c r="Q99">
        <v>223.189674800029</v>
      </c>
      <c r="R99">
        <v>223.196808899985</v>
      </c>
      <c r="S99">
        <v>224.17990310001099</v>
      </c>
      <c r="T99">
        <v>224.17990310001099</v>
      </c>
      <c r="U99">
        <v>224.19660779996701</v>
      </c>
      <c r="V99">
        <v>224.78066180006101</v>
      </c>
      <c r="W99" t="s">
        <v>34</v>
      </c>
      <c r="X99">
        <v>0.58988119999412403</v>
      </c>
      <c r="Y99" t="s">
        <v>35</v>
      </c>
      <c r="Z99">
        <v>4</v>
      </c>
      <c r="AA99">
        <v>1</v>
      </c>
      <c r="AB99" t="s">
        <v>36</v>
      </c>
      <c r="AC99" t="s">
        <v>37</v>
      </c>
      <c r="AE99" t="s">
        <v>38</v>
      </c>
      <c r="AF99">
        <v>59.989513822973798</v>
      </c>
      <c r="AG99" t="s">
        <v>39</v>
      </c>
    </row>
    <row r="100" spans="1:33" x14ac:dyDescent="0.3">
      <c r="A100" t="s">
        <v>40</v>
      </c>
      <c r="B100">
        <v>49</v>
      </c>
      <c r="C100">
        <v>60</v>
      </c>
      <c r="D100">
        <v>89</v>
      </c>
      <c r="E100">
        <v>98</v>
      </c>
      <c r="F100">
        <v>18</v>
      </c>
      <c r="G100">
        <v>4</v>
      </c>
      <c r="H100" t="s">
        <v>41</v>
      </c>
      <c r="I100">
        <v>0.82535449997521904</v>
      </c>
      <c r="J100" t="s">
        <v>35</v>
      </c>
      <c r="K100">
        <v>4</v>
      </c>
      <c r="L100">
        <v>18</v>
      </c>
      <c r="M100">
        <v>98</v>
      </c>
      <c r="N100">
        <v>19</v>
      </c>
      <c r="O100">
        <v>224.796961999963</v>
      </c>
      <c r="Q100">
        <v>224.79315439995801</v>
      </c>
      <c r="R100">
        <v>224.796961999963</v>
      </c>
      <c r="S100">
        <v>225.779900099965</v>
      </c>
      <c r="T100">
        <v>225.779900099965</v>
      </c>
      <c r="U100">
        <v>225.79663220001299</v>
      </c>
      <c r="V100">
        <v>226.61412719998</v>
      </c>
      <c r="W100" t="s">
        <v>41</v>
      </c>
      <c r="X100">
        <v>0.82535449997521904</v>
      </c>
      <c r="Y100" t="s">
        <v>35</v>
      </c>
      <c r="Z100">
        <v>4</v>
      </c>
      <c r="AA100">
        <v>1</v>
      </c>
      <c r="AB100" t="s">
        <v>36</v>
      </c>
      <c r="AC100" t="s">
        <v>37</v>
      </c>
      <c r="AE100" t="s">
        <v>38</v>
      </c>
      <c r="AF100">
        <v>59.989513822973798</v>
      </c>
      <c r="AG100" t="s">
        <v>39</v>
      </c>
    </row>
    <row r="101" spans="1:33" x14ac:dyDescent="0.3">
      <c r="A101" t="s">
        <v>40</v>
      </c>
      <c r="B101">
        <v>11</v>
      </c>
      <c r="C101">
        <v>30</v>
      </c>
      <c r="D101">
        <v>7</v>
      </c>
      <c r="E101">
        <v>99</v>
      </c>
      <c r="F101">
        <v>19</v>
      </c>
      <c r="G101">
        <v>4</v>
      </c>
      <c r="H101" t="s">
        <v>41</v>
      </c>
      <c r="I101">
        <v>0.54387169994879503</v>
      </c>
      <c r="J101" t="s">
        <v>35</v>
      </c>
      <c r="K101">
        <v>4</v>
      </c>
      <c r="L101">
        <v>19</v>
      </c>
      <c r="M101">
        <v>99</v>
      </c>
      <c r="N101">
        <v>10</v>
      </c>
      <c r="O101">
        <v>226.63000130001399</v>
      </c>
      <c r="Q101">
        <v>226.62240790005299</v>
      </c>
      <c r="R101">
        <v>226.63000130001399</v>
      </c>
      <c r="S101">
        <v>227.613906500046</v>
      </c>
      <c r="T101">
        <v>227.613906500046</v>
      </c>
      <c r="U101">
        <v>227.630207499954</v>
      </c>
      <c r="V101">
        <v>228.164203500025</v>
      </c>
      <c r="W101" t="s">
        <v>41</v>
      </c>
      <c r="X101">
        <v>0.54387169994879503</v>
      </c>
      <c r="Y101" t="s">
        <v>35</v>
      </c>
      <c r="Z101">
        <v>4</v>
      </c>
      <c r="AA101">
        <v>1</v>
      </c>
      <c r="AB101" t="s">
        <v>36</v>
      </c>
      <c r="AC101" t="s">
        <v>37</v>
      </c>
      <c r="AE101" t="s">
        <v>38</v>
      </c>
      <c r="AF101">
        <v>59.989513822973798</v>
      </c>
      <c r="AG101" t="s">
        <v>39</v>
      </c>
    </row>
  </sheetData>
  <autoFilter ref="A1:AG101" xr:uid="{720C8391-67B1-489C-AEDD-FF443DCCD2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6879-67DF-42A6-9B5F-F127CDC6EF5D}">
  <dimension ref="A1:H51"/>
  <sheetViews>
    <sheetView workbookViewId="0">
      <selection activeCell="H2" sqref="H2"/>
    </sheetView>
  </sheetViews>
  <sheetFormatPr defaultRowHeight="14.4" x14ac:dyDescent="0.3"/>
  <cols>
    <col min="5" max="5" width="11.88671875" customWidth="1"/>
    <col min="8" max="8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44</v>
      </c>
    </row>
    <row r="2" spans="1:8" x14ac:dyDescent="0.3">
      <c r="A2" t="s">
        <v>33</v>
      </c>
      <c r="B2">
        <v>15</v>
      </c>
      <c r="C2">
        <v>35</v>
      </c>
      <c r="D2">
        <v>13</v>
      </c>
      <c r="E2" t="s">
        <v>34</v>
      </c>
      <c r="F2">
        <f>((C2/B2)-1)/D2</f>
        <v>0.10256410256410257</v>
      </c>
      <c r="H2">
        <f>AVERAGE(G11,G46)</f>
        <v>5.1284650523886047E-2</v>
      </c>
    </row>
    <row r="3" spans="1:8" x14ac:dyDescent="0.3">
      <c r="A3" t="s">
        <v>33</v>
      </c>
      <c r="B3">
        <v>11</v>
      </c>
      <c r="C3">
        <v>30</v>
      </c>
      <c r="D3">
        <v>7</v>
      </c>
      <c r="E3" t="s">
        <v>34</v>
      </c>
      <c r="F3">
        <f t="shared" ref="F3:F51" si="0">((C3/B3)-1)/D3</f>
        <v>0.24675324675324672</v>
      </c>
    </row>
    <row r="4" spans="1:8" x14ac:dyDescent="0.3">
      <c r="A4" t="s">
        <v>33</v>
      </c>
      <c r="B4">
        <v>49</v>
      </c>
      <c r="C4">
        <v>60</v>
      </c>
      <c r="D4">
        <v>89</v>
      </c>
      <c r="E4" t="s">
        <v>34</v>
      </c>
      <c r="F4">
        <f t="shared" si="0"/>
        <v>2.522357257509746E-3</v>
      </c>
    </row>
    <row r="5" spans="1:8" x14ac:dyDescent="0.3">
      <c r="A5" t="s">
        <v>33</v>
      </c>
      <c r="B5">
        <v>27</v>
      </c>
      <c r="C5">
        <v>50</v>
      </c>
      <c r="D5">
        <v>21</v>
      </c>
      <c r="E5" t="s">
        <v>34</v>
      </c>
      <c r="F5">
        <f t="shared" si="0"/>
        <v>4.0564373897707229E-2</v>
      </c>
    </row>
    <row r="6" spans="1:8" x14ac:dyDescent="0.3">
      <c r="A6" t="s">
        <v>33</v>
      </c>
      <c r="B6">
        <v>67</v>
      </c>
      <c r="C6">
        <v>75</v>
      </c>
      <c r="D6">
        <v>119</v>
      </c>
      <c r="E6" t="s">
        <v>34</v>
      </c>
      <c r="F6">
        <f t="shared" si="0"/>
        <v>1.0033864291985443E-3</v>
      </c>
    </row>
    <row r="7" spans="1:8" x14ac:dyDescent="0.3">
      <c r="A7" t="s">
        <v>33</v>
      </c>
      <c r="B7">
        <v>40</v>
      </c>
      <c r="C7">
        <v>55</v>
      </c>
      <c r="D7">
        <v>62</v>
      </c>
      <c r="E7" t="s">
        <v>34</v>
      </c>
      <c r="F7">
        <f t="shared" si="0"/>
        <v>6.0483870967741934E-3</v>
      </c>
    </row>
    <row r="8" spans="1:8" x14ac:dyDescent="0.3">
      <c r="A8" t="s">
        <v>33</v>
      </c>
      <c r="B8">
        <v>78</v>
      </c>
      <c r="C8">
        <v>80</v>
      </c>
      <c r="D8">
        <v>162</v>
      </c>
      <c r="E8" t="s">
        <v>34</v>
      </c>
      <c r="F8">
        <f t="shared" si="0"/>
        <v>1.5827793605571326E-4</v>
      </c>
    </row>
    <row r="9" spans="1:8" x14ac:dyDescent="0.3">
      <c r="A9" t="s">
        <v>33</v>
      </c>
      <c r="B9">
        <v>40</v>
      </c>
      <c r="C9">
        <v>55</v>
      </c>
      <c r="D9">
        <v>62</v>
      </c>
      <c r="E9" t="s">
        <v>34</v>
      </c>
      <c r="F9">
        <f t="shared" si="0"/>
        <v>6.0483870967741934E-3</v>
      </c>
    </row>
    <row r="10" spans="1:8" x14ac:dyDescent="0.3">
      <c r="A10" t="s">
        <v>33</v>
      </c>
      <c r="B10">
        <v>15</v>
      </c>
      <c r="C10">
        <v>35</v>
      </c>
      <c r="D10">
        <v>13</v>
      </c>
      <c r="E10" t="s">
        <v>34</v>
      </c>
      <c r="F10">
        <f t="shared" si="0"/>
        <v>0.10256410256410257</v>
      </c>
    </row>
    <row r="11" spans="1:8" x14ac:dyDescent="0.3">
      <c r="A11" t="s">
        <v>33</v>
      </c>
      <c r="B11">
        <v>49</v>
      </c>
      <c r="C11">
        <v>60</v>
      </c>
      <c r="D11">
        <v>89</v>
      </c>
      <c r="E11" t="s">
        <v>34</v>
      </c>
      <c r="F11">
        <f t="shared" si="0"/>
        <v>2.522357257509746E-3</v>
      </c>
      <c r="G11">
        <f>GEOMEAN(F11:F12)</f>
        <v>2.522357257509746E-3</v>
      </c>
    </row>
    <row r="12" spans="1:8" x14ac:dyDescent="0.3">
      <c r="A12" t="s">
        <v>33</v>
      </c>
      <c r="B12">
        <v>49</v>
      </c>
      <c r="C12">
        <v>60</v>
      </c>
      <c r="D12">
        <v>89</v>
      </c>
      <c r="E12" t="s">
        <v>41</v>
      </c>
      <c r="F12">
        <f t="shared" si="0"/>
        <v>2.522357257509746E-3</v>
      </c>
    </row>
    <row r="13" spans="1:8" x14ac:dyDescent="0.3">
      <c r="A13" t="s">
        <v>33</v>
      </c>
      <c r="B13">
        <v>11</v>
      </c>
      <c r="C13">
        <v>30</v>
      </c>
      <c r="D13">
        <v>7</v>
      </c>
      <c r="E13" t="s">
        <v>34</v>
      </c>
      <c r="F13">
        <f t="shared" si="0"/>
        <v>0.24675324675324672</v>
      </c>
    </row>
    <row r="14" spans="1:8" x14ac:dyDescent="0.3">
      <c r="A14" t="s">
        <v>33</v>
      </c>
      <c r="B14">
        <v>27</v>
      </c>
      <c r="C14">
        <v>50</v>
      </c>
      <c r="D14">
        <v>21</v>
      </c>
      <c r="E14" t="s">
        <v>34</v>
      </c>
      <c r="F14">
        <f t="shared" si="0"/>
        <v>4.0564373897707229E-2</v>
      </c>
    </row>
    <row r="15" spans="1:8" x14ac:dyDescent="0.3">
      <c r="A15" t="s">
        <v>33</v>
      </c>
      <c r="B15">
        <v>40</v>
      </c>
      <c r="C15">
        <v>55</v>
      </c>
      <c r="D15">
        <v>62</v>
      </c>
      <c r="E15" t="s">
        <v>34</v>
      </c>
      <c r="F15">
        <f t="shared" si="0"/>
        <v>6.0483870967741934E-3</v>
      </c>
    </row>
    <row r="16" spans="1:8" x14ac:dyDescent="0.3">
      <c r="A16" t="s">
        <v>33</v>
      </c>
      <c r="B16">
        <v>78</v>
      </c>
      <c r="C16">
        <v>80</v>
      </c>
      <c r="D16">
        <v>162</v>
      </c>
      <c r="E16" t="s">
        <v>34</v>
      </c>
      <c r="F16">
        <f t="shared" si="0"/>
        <v>1.5827793605571326E-4</v>
      </c>
    </row>
    <row r="17" spans="1:6" x14ac:dyDescent="0.3">
      <c r="A17" t="s">
        <v>33</v>
      </c>
      <c r="B17">
        <v>40</v>
      </c>
      <c r="C17">
        <v>55</v>
      </c>
      <c r="D17">
        <v>62</v>
      </c>
      <c r="E17" t="s">
        <v>34</v>
      </c>
      <c r="F17">
        <f t="shared" si="0"/>
        <v>6.0483870967741934E-3</v>
      </c>
    </row>
    <row r="18" spans="1:6" x14ac:dyDescent="0.3">
      <c r="A18" t="s">
        <v>33</v>
      </c>
      <c r="B18">
        <v>67</v>
      </c>
      <c r="C18">
        <v>75</v>
      </c>
      <c r="D18">
        <v>119</v>
      </c>
      <c r="E18" t="s">
        <v>34</v>
      </c>
      <c r="F18">
        <f t="shared" si="0"/>
        <v>1.0033864291985443E-3</v>
      </c>
    </row>
    <row r="19" spans="1:6" x14ac:dyDescent="0.3">
      <c r="A19" t="s">
        <v>33</v>
      </c>
      <c r="B19">
        <v>49</v>
      </c>
      <c r="C19">
        <v>60</v>
      </c>
      <c r="D19">
        <v>89</v>
      </c>
      <c r="E19" t="s">
        <v>34</v>
      </c>
      <c r="F19">
        <f t="shared" si="0"/>
        <v>2.522357257509746E-3</v>
      </c>
    </row>
    <row r="20" spans="1:6" x14ac:dyDescent="0.3">
      <c r="A20" t="s">
        <v>33</v>
      </c>
      <c r="B20">
        <v>15</v>
      </c>
      <c r="C20">
        <v>35</v>
      </c>
      <c r="D20">
        <v>13</v>
      </c>
      <c r="E20" t="s">
        <v>34</v>
      </c>
      <c r="F20">
        <f t="shared" si="0"/>
        <v>0.10256410256410257</v>
      </c>
    </row>
    <row r="21" spans="1:6" x14ac:dyDescent="0.3">
      <c r="A21" t="s">
        <v>33</v>
      </c>
      <c r="B21">
        <v>15</v>
      </c>
      <c r="C21">
        <v>35</v>
      </c>
      <c r="D21">
        <v>13</v>
      </c>
      <c r="E21" t="s">
        <v>34</v>
      </c>
      <c r="F21">
        <f t="shared" si="0"/>
        <v>0.10256410256410257</v>
      </c>
    </row>
    <row r="22" spans="1:6" x14ac:dyDescent="0.3">
      <c r="A22" t="s">
        <v>33</v>
      </c>
      <c r="B22">
        <v>27</v>
      </c>
      <c r="C22">
        <v>50</v>
      </c>
      <c r="D22">
        <v>21</v>
      </c>
      <c r="E22" t="s">
        <v>34</v>
      </c>
      <c r="F22">
        <f t="shared" si="0"/>
        <v>4.0564373897707229E-2</v>
      </c>
    </row>
    <row r="23" spans="1:6" x14ac:dyDescent="0.3">
      <c r="A23" t="s">
        <v>33</v>
      </c>
      <c r="B23">
        <v>49</v>
      </c>
      <c r="C23">
        <v>60</v>
      </c>
      <c r="D23">
        <v>89</v>
      </c>
      <c r="E23" t="s">
        <v>34</v>
      </c>
      <c r="F23">
        <f t="shared" si="0"/>
        <v>2.522357257509746E-3</v>
      </c>
    </row>
    <row r="24" spans="1:6" x14ac:dyDescent="0.3">
      <c r="A24" t="s">
        <v>33</v>
      </c>
      <c r="B24">
        <v>15</v>
      </c>
      <c r="C24">
        <v>35</v>
      </c>
      <c r="D24">
        <v>13</v>
      </c>
      <c r="E24" t="s">
        <v>34</v>
      </c>
      <c r="F24">
        <f t="shared" si="0"/>
        <v>0.10256410256410257</v>
      </c>
    </row>
    <row r="25" spans="1:6" x14ac:dyDescent="0.3">
      <c r="A25" t="s">
        <v>33</v>
      </c>
      <c r="B25">
        <v>40</v>
      </c>
      <c r="C25">
        <v>55</v>
      </c>
      <c r="D25">
        <v>62</v>
      </c>
      <c r="E25" t="s">
        <v>34</v>
      </c>
      <c r="F25">
        <f t="shared" si="0"/>
        <v>6.0483870967741934E-3</v>
      </c>
    </row>
    <row r="26" spans="1:6" x14ac:dyDescent="0.3">
      <c r="A26" t="s">
        <v>33</v>
      </c>
      <c r="B26">
        <v>40</v>
      </c>
      <c r="C26">
        <v>55</v>
      </c>
      <c r="D26">
        <v>62</v>
      </c>
      <c r="E26" t="s">
        <v>34</v>
      </c>
      <c r="F26">
        <f t="shared" si="0"/>
        <v>6.0483870967741934E-3</v>
      </c>
    </row>
    <row r="27" spans="1:6" x14ac:dyDescent="0.3">
      <c r="A27" t="s">
        <v>33</v>
      </c>
      <c r="B27">
        <v>78</v>
      </c>
      <c r="C27">
        <v>80</v>
      </c>
      <c r="D27">
        <v>162</v>
      </c>
      <c r="E27" t="s">
        <v>34</v>
      </c>
      <c r="F27">
        <f t="shared" si="0"/>
        <v>1.5827793605571326E-4</v>
      </c>
    </row>
    <row r="28" spans="1:6" x14ac:dyDescent="0.3">
      <c r="A28" t="s">
        <v>33</v>
      </c>
      <c r="B28">
        <v>11</v>
      </c>
      <c r="C28">
        <v>30</v>
      </c>
      <c r="D28">
        <v>7</v>
      </c>
      <c r="E28" t="s">
        <v>34</v>
      </c>
      <c r="F28">
        <f t="shared" si="0"/>
        <v>0.24675324675324672</v>
      </c>
    </row>
    <row r="29" spans="1:6" x14ac:dyDescent="0.3">
      <c r="A29" t="s">
        <v>33</v>
      </c>
      <c r="B29">
        <v>49</v>
      </c>
      <c r="C29">
        <v>60</v>
      </c>
      <c r="D29">
        <v>89</v>
      </c>
      <c r="E29" t="s">
        <v>34</v>
      </c>
      <c r="F29">
        <f t="shared" si="0"/>
        <v>2.522357257509746E-3</v>
      </c>
    </row>
    <row r="30" spans="1:6" x14ac:dyDescent="0.3">
      <c r="A30" t="s">
        <v>33</v>
      </c>
      <c r="B30">
        <v>15</v>
      </c>
      <c r="C30">
        <v>35</v>
      </c>
      <c r="D30">
        <v>13</v>
      </c>
      <c r="E30" t="s">
        <v>34</v>
      </c>
      <c r="F30">
        <f t="shared" si="0"/>
        <v>0.10256410256410257</v>
      </c>
    </row>
    <row r="31" spans="1:6" x14ac:dyDescent="0.3">
      <c r="A31" t="s">
        <v>33</v>
      </c>
      <c r="B31">
        <v>67</v>
      </c>
      <c r="C31">
        <v>75</v>
      </c>
      <c r="D31">
        <v>119</v>
      </c>
      <c r="E31" t="s">
        <v>34</v>
      </c>
      <c r="F31">
        <f t="shared" si="0"/>
        <v>1.0033864291985443E-3</v>
      </c>
    </row>
    <row r="32" spans="1:6" x14ac:dyDescent="0.3">
      <c r="A32" t="s">
        <v>33</v>
      </c>
      <c r="B32">
        <v>49</v>
      </c>
      <c r="C32">
        <v>60</v>
      </c>
      <c r="D32">
        <v>89</v>
      </c>
      <c r="E32" t="s">
        <v>34</v>
      </c>
      <c r="F32">
        <f t="shared" si="0"/>
        <v>2.522357257509746E-3</v>
      </c>
    </row>
    <row r="33" spans="1:7" x14ac:dyDescent="0.3">
      <c r="A33" t="s">
        <v>33</v>
      </c>
      <c r="B33">
        <v>40</v>
      </c>
      <c r="C33">
        <v>55</v>
      </c>
      <c r="D33">
        <v>62</v>
      </c>
      <c r="E33" t="s">
        <v>34</v>
      </c>
      <c r="F33">
        <f t="shared" si="0"/>
        <v>6.0483870967741934E-3</v>
      </c>
    </row>
    <row r="34" spans="1:7" x14ac:dyDescent="0.3">
      <c r="A34" t="s">
        <v>33</v>
      </c>
      <c r="B34">
        <v>15</v>
      </c>
      <c r="C34">
        <v>35</v>
      </c>
      <c r="D34">
        <v>13</v>
      </c>
      <c r="E34" t="s">
        <v>34</v>
      </c>
      <c r="F34">
        <f t="shared" si="0"/>
        <v>0.10256410256410257</v>
      </c>
    </row>
    <row r="35" spans="1:7" x14ac:dyDescent="0.3">
      <c r="A35" t="s">
        <v>33</v>
      </c>
      <c r="B35">
        <v>27</v>
      </c>
      <c r="C35">
        <v>50</v>
      </c>
      <c r="D35">
        <v>21</v>
      </c>
      <c r="E35" t="s">
        <v>34</v>
      </c>
      <c r="F35">
        <f t="shared" si="0"/>
        <v>4.0564373897707229E-2</v>
      </c>
    </row>
    <row r="36" spans="1:7" x14ac:dyDescent="0.3">
      <c r="A36" t="s">
        <v>33</v>
      </c>
      <c r="B36">
        <v>11</v>
      </c>
      <c r="C36">
        <v>30</v>
      </c>
      <c r="D36">
        <v>7</v>
      </c>
      <c r="E36" t="s">
        <v>34</v>
      </c>
      <c r="F36">
        <f t="shared" si="0"/>
        <v>0.24675324675324672</v>
      </c>
    </row>
    <row r="37" spans="1:7" x14ac:dyDescent="0.3">
      <c r="A37" t="s">
        <v>33</v>
      </c>
      <c r="B37">
        <v>67</v>
      </c>
      <c r="C37">
        <v>75</v>
      </c>
      <c r="D37">
        <v>119</v>
      </c>
      <c r="E37" t="s">
        <v>34</v>
      </c>
      <c r="F37">
        <f t="shared" si="0"/>
        <v>1.0033864291985443E-3</v>
      </c>
    </row>
    <row r="38" spans="1:7" x14ac:dyDescent="0.3">
      <c r="A38" t="s">
        <v>33</v>
      </c>
      <c r="B38">
        <v>78</v>
      </c>
      <c r="C38">
        <v>80</v>
      </c>
      <c r="D38">
        <v>162</v>
      </c>
      <c r="E38" t="s">
        <v>34</v>
      </c>
      <c r="F38">
        <f t="shared" si="0"/>
        <v>1.5827793605571326E-4</v>
      </c>
    </row>
    <row r="39" spans="1:7" x14ac:dyDescent="0.3">
      <c r="A39" t="s">
        <v>33</v>
      </c>
      <c r="B39">
        <v>15</v>
      </c>
      <c r="C39">
        <v>35</v>
      </c>
      <c r="D39">
        <v>13</v>
      </c>
      <c r="E39" t="s">
        <v>34</v>
      </c>
      <c r="F39">
        <f t="shared" si="0"/>
        <v>0.10256410256410257</v>
      </c>
    </row>
    <row r="40" spans="1:7" x14ac:dyDescent="0.3">
      <c r="A40" t="s">
        <v>33</v>
      </c>
      <c r="B40">
        <v>49</v>
      </c>
      <c r="C40">
        <v>60</v>
      </c>
      <c r="D40">
        <v>89</v>
      </c>
      <c r="E40" t="s">
        <v>34</v>
      </c>
      <c r="F40">
        <f t="shared" si="0"/>
        <v>2.522357257509746E-3</v>
      </c>
    </row>
    <row r="41" spans="1:7" x14ac:dyDescent="0.3">
      <c r="A41" t="s">
        <v>33</v>
      </c>
      <c r="B41">
        <v>40</v>
      </c>
      <c r="C41">
        <v>55</v>
      </c>
      <c r="D41">
        <v>62</v>
      </c>
      <c r="E41" t="s">
        <v>34</v>
      </c>
      <c r="F41">
        <f t="shared" si="0"/>
        <v>6.0483870967741934E-3</v>
      </c>
    </row>
    <row r="42" spans="1:7" x14ac:dyDescent="0.3">
      <c r="A42" t="s">
        <v>33</v>
      </c>
      <c r="B42">
        <v>15</v>
      </c>
      <c r="C42">
        <v>35</v>
      </c>
      <c r="D42">
        <v>13</v>
      </c>
      <c r="E42" t="s">
        <v>34</v>
      </c>
      <c r="F42">
        <f t="shared" si="0"/>
        <v>0.10256410256410257</v>
      </c>
    </row>
    <row r="43" spans="1:7" x14ac:dyDescent="0.3">
      <c r="A43" t="s">
        <v>33</v>
      </c>
      <c r="B43">
        <v>78</v>
      </c>
      <c r="C43">
        <v>80</v>
      </c>
      <c r="D43">
        <v>162</v>
      </c>
      <c r="E43" t="s">
        <v>34</v>
      </c>
      <c r="F43">
        <f t="shared" si="0"/>
        <v>1.5827793605571326E-4</v>
      </c>
    </row>
    <row r="44" spans="1:7" x14ac:dyDescent="0.3">
      <c r="A44" t="s">
        <v>33</v>
      </c>
      <c r="B44">
        <v>40</v>
      </c>
      <c r="C44">
        <v>55</v>
      </c>
      <c r="D44">
        <v>62</v>
      </c>
      <c r="E44" t="s">
        <v>34</v>
      </c>
      <c r="F44">
        <f t="shared" si="0"/>
        <v>6.0483870967741934E-3</v>
      </c>
    </row>
    <row r="45" spans="1:7" x14ac:dyDescent="0.3">
      <c r="A45" t="s">
        <v>33</v>
      </c>
      <c r="B45">
        <v>49</v>
      </c>
      <c r="C45">
        <v>60</v>
      </c>
      <c r="D45">
        <v>89</v>
      </c>
      <c r="E45" t="s">
        <v>34</v>
      </c>
      <c r="F45">
        <f t="shared" si="0"/>
        <v>2.522357257509746E-3</v>
      </c>
    </row>
    <row r="46" spans="1:7" x14ac:dyDescent="0.3">
      <c r="A46" t="s">
        <v>33</v>
      </c>
      <c r="B46">
        <v>27</v>
      </c>
      <c r="C46">
        <v>50</v>
      </c>
      <c r="D46">
        <v>21</v>
      </c>
      <c r="E46" t="s">
        <v>34</v>
      </c>
      <c r="F46">
        <f t="shared" si="0"/>
        <v>4.0564373897707229E-2</v>
      </c>
      <c r="G46">
        <f>GEOMEAN(F46:F47)</f>
        <v>0.10004694379026234</v>
      </c>
    </row>
    <row r="47" spans="1:7" x14ac:dyDescent="0.3">
      <c r="A47" t="s">
        <v>33</v>
      </c>
      <c r="B47">
        <v>11</v>
      </c>
      <c r="C47">
        <v>30</v>
      </c>
      <c r="D47">
        <v>7</v>
      </c>
      <c r="E47" t="s">
        <v>41</v>
      </c>
      <c r="F47">
        <f t="shared" si="0"/>
        <v>0.24675324675324672</v>
      </c>
    </row>
    <row r="48" spans="1:7" x14ac:dyDescent="0.3">
      <c r="A48" t="s">
        <v>33</v>
      </c>
      <c r="B48">
        <v>40</v>
      </c>
      <c r="C48">
        <v>55</v>
      </c>
      <c r="D48">
        <v>62</v>
      </c>
      <c r="E48" t="s">
        <v>34</v>
      </c>
      <c r="F48">
        <f t="shared" si="0"/>
        <v>6.0483870967741934E-3</v>
      </c>
    </row>
    <row r="49" spans="1:6" x14ac:dyDescent="0.3">
      <c r="A49" t="s">
        <v>33</v>
      </c>
      <c r="B49">
        <v>15</v>
      </c>
      <c r="C49">
        <v>35</v>
      </c>
      <c r="D49">
        <v>13</v>
      </c>
      <c r="E49" t="s">
        <v>34</v>
      </c>
      <c r="F49">
        <f t="shared" si="0"/>
        <v>0.10256410256410257</v>
      </c>
    </row>
    <row r="50" spans="1:6" x14ac:dyDescent="0.3">
      <c r="A50" t="s">
        <v>33</v>
      </c>
      <c r="B50">
        <v>49</v>
      </c>
      <c r="C50">
        <v>60</v>
      </c>
      <c r="D50">
        <v>89</v>
      </c>
      <c r="E50" t="s">
        <v>34</v>
      </c>
      <c r="F50">
        <f t="shared" si="0"/>
        <v>2.522357257509746E-3</v>
      </c>
    </row>
    <row r="51" spans="1:6" x14ac:dyDescent="0.3">
      <c r="A51" t="s">
        <v>33</v>
      </c>
      <c r="B51">
        <v>67</v>
      </c>
      <c r="C51">
        <v>75</v>
      </c>
      <c r="D51">
        <v>119</v>
      </c>
      <c r="E51" t="s">
        <v>34</v>
      </c>
      <c r="F51">
        <f t="shared" si="0"/>
        <v>1.0033864291985443E-3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F5AB-506B-4678-8C02-A445AB0BE97B}">
  <dimension ref="A1:H51"/>
  <sheetViews>
    <sheetView tabSelected="1" workbookViewId="0">
      <selection activeCell="H2" sqref="H2"/>
    </sheetView>
  </sheetViews>
  <sheetFormatPr defaultRowHeight="14.4" x14ac:dyDescent="0.3"/>
  <cols>
    <col min="5" max="5" width="13" customWidth="1"/>
    <col min="8" max="8" width="11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44</v>
      </c>
    </row>
    <row r="2" spans="1:8" x14ac:dyDescent="0.3">
      <c r="A2" t="s">
        <v>40</v>
      </c>
      <c r="B2">
        <v>67</v>
      </c>
      <c r="C2">
        <v>75</v>
      </c>
      <c r="D2">
        <v>119</v>
      </c>
      <c r="E2" t="s">
        <v>41</v>
      </c>
      <c r="F2">
        <f>((C2/B2)-1)/D2</f>
        <v>1.0033864291985443E-3</v>
      </c>
      <c r="H2">
        <f>AVERAGE(G18,G40)</f>
        <v>8.4600095406219267E-2</v>
      </c>
    </row>
    <row r="3" spans="1:8" x14ac:dyDescent="0.3">
      <c r="A3" t="s">
        <v>40</v>
      </c>
      <c r="B3">
        <v>40</v>
      </c>
      <c r="C3">
        <v>55</v>
      </c>
      <c r="D3">
        <v>62</v>
      </c>
      <c r="E3" t="s">
        <v>41</v>
      </c>
      <c r="F3">
        <f t="shared" ref="F3:F51" si="0">((C3/B3)-1)/D3</f>
        <v>6.0483870967741934E-3</v>
      </c>
    </row>
    <row r="4" spans="1:8" x14ac:dyDescent="0.3">
      <c r="A4" t="s">
        <v>40</v>
      </c>
      <c r="B4">
        <v>11</v>
      </c>
      <c r="C4">
        <v>30</v>
      </c>
      <c r="D4">
        <v>7</v>
      </c>
      <c r="E4" t="s">
        <v>41</v>
      </c>
      <c r="F4">
        <f t="shared" si="0"/>
        <v>0.24675324675324672</v>
      </c>
    </row>
    <row r="5" spans="1:8" x14ac:dyDescent="0.3">
      <c r="A5" t="s">
        <v>40</v>
      </c>
      <c r="B5">
        <v>15</v>
      </c>
      <c r="C5">
        <v>35</v>
      </c>
      <c r="D5">
        <v>13</v>
      </c>
      <c r="E5" t="s">
        <v>41</v>
      </c>
      <c r="F5">
        <f t="shared" si="0"/>
        <v>0.10256410256410257</v>
      </c>
    </row>
    <row r="6" spans="1:8" x14ac:dyDescent="0.3">
      <c r="A6" t="s">
        <v>40</v>
      </c>
      <c r="B6">
        <v>40</v>
      </c>
      <c r="C6">
        <v>55</v>
      </c>
      <c r="D6">
        <v>62</v>
      </c>
      <c r="E6" t="s">
        <v>41</v>
      </c>
      <c r="F6">
        <f t="shared" si="0"/>
        <v>6.0483870967741934E-3</v>
      </c>
    </row>
    <row r="7" spans="1:8" x14ac:dyDescent="0.3">
      <c r="A7" t="s">
        <v>40</v>
      </c>
      <c r="B7">
        <v>49</v>
      </c>
      <c r="C7">
        <v>60</v>
      </c>
      <c r="D7">
        <v>89</v>
      </c>
      <c r="E7" t="s">
        <v>41</v>
      </c>
      <c r="F7">
        <f t="shared" si="0"/>
        <v>2.522357257509746E-3</v>
      </c>
    </row>
    <row r="8" spans="1:8" x14ac:dyDescent="0.3">
      <c r="A8" t="s">
        <v>40</v>
      </c>
      <c r="B8">
        <v>49</v>
      </c>
      <c r="C8">
        <v>60</v>
      </c>
      <c r="D8">
        <v>89</v>
      </c>
      <c r="E8" t="s">
        <v>41</v>
      </c>
      <c r="F8">
        <f t="shared" si="0"/>
        <v>2.522357257509746E-3</v>
      </c>
    </row>
    <row r="9" spans="1:8" x14ac:dyDescent="0.3">
      <c r="A9" t="s">
        <v>40</v>
      </c>
      <c r="B9">
        <v>27</v>
      </c>
      <c r="C9">
        <v>50</v>
      </c>
      <c r="D9">
        <v>21</v>
      </c>
      <c r="E9" t="s">
        <v>41</v>
      </c>
      <c r="F9">
        <f t="shared" si="0"/>
        <v>4.0564373897707229E-2</v>
      </c>
    </row>
    <row r="10" spans="1:8" x14ac:dyDescent="0.3">
      <c r="A10" t="s">
        <v>40</v>
      </c>
      <c r="B10">
        <v>15</v>
      </c>
      <c r="C10">
        <v>35</v>
      </c>
      <c r="D10">
        <v>13</v>
      </c>
      <c r="E10" t="s">
        <v>41</v>
      </c>
      <c r="F10">
        <f t="shared" si="0"/>
        <v>0.10256410256410257</v>
      </c>
    </row>
    <row r="11" spans="1:8" x14ac:dyDescent="0.3">
      <c r="A11" t="s">
        <v>40</v>
      </c>
      <c r="B11">
        <v>78</v>
      </c>
      <c r="C11">
        <v>80</v>
      </c>
      <c r="D11">
        <v>162</v>
      </c>
      <c r="E11" t="s">
        <v>41</v>
      </c>
      <c r="F11">
        <f t="shared" si="0"/>
        <v>1.5827793605571326E-4</v>
      </c>
    </row>
    <row r="12" spans="1:8" x14ac:dyDescent="0.3">
      <c r="A12" t="s">
        <v>40</v>
      </c>
      <c r="B12">
        <v>15</v>
      </c>
      <c r="C12">
        <v>35</v>
      </c>
      <c r="D12">
        <v>13</v>
      </c>
      <c r="E12" t="s">
        <v>41</v>
      </c>
      <c r="F12">
        <f t="shared" si="0"/>
        <v>0.10256410256410257</v>
      </c>
    </row>
    <row r="13" spans="1:8" x14ac:dyDescent="0.3">
      <c r="A13" t="s">
        <v>40</v>
      </c>
      <c r="B13">
        <v>40</v>
      </c>
      <c r="C13">
        <v>55</v>
      </c>
      <c r="D13">
        <v>62</v>
      </c>
      <c r="E13" t="s">
        <v>41</v>
      </c>
      <c r="F13">
        <f t="shared" si="0"/>
        <v>6.0483870967741934E-3</v>
      </c>
    </row>
    <row r="14" spans="1:8" x14ac:dyDescent="0.3">
      <c r="A14" t="s">
        <v>40</v>
      </c>
      <c r="B14">
        <v>11</v>
      </c>
      <c r="C14">
        <v>30</v>
      </c>
      <c r="D14">
        <v>7</v>
      </c>
      <c r="E14" t="s">
        <v>41</v>
      </c>
      <c r="F14">
        <f t="shared" si="0"/>
        <v>0.24675324675324672</v>
      </c>
    </row>
    <row r="15" spans="1:8" x14ac:dyDescent="0.3">
      <c r="A15" t="s">
        <v>40</v>
      </c>
      <c r="B15">
        <v>67</v>
      </c>
      <c r="C15">
        <v>75</v>
      </c>
      <c r="D15">
        <v>119</v>
      </c>
      <c r="E15" t="s">
        <v>41</v>
      </c>
      <c r="F15">
        <f t="shared" si="0"/>
        <v>1.0033864291985443E-3</v>
      </c>
    </row>
    <row r="16" spans="1:8" x14ac:dyDescent="0.3">
      <c r="A16" t="s">
        <v>40</v>
      </c>
      <c r="B16">
        <v>40</v>
      </c>
      <c r="C16">
        <v>55</v>
      </c>
      <c r="D16">
        <v>62</v>
      </c>
      <c r="E16" t="s">
        <v>41</v>
      </c>
      <c r="F16">
        <f t="shared" si="0"/>
        <v>6.0483870967741934E-3</v>
      </c>
    </row>
    <row r="17" spans="1:7" x14ac:dyDescent="0.3">
      <c r="A17" t="s">
        <v>40</v>
      </c>
      <c r="B17">
        <v>78</v>
      </c>
      <c r="C17">
        <v>80</v>
      </c>
      <c r="D17">
        <v>162</v>
      </c>
      <c r="E17" t="s">
        <v>41</v>
      </c>
      <c r="F17">
        <f t="shared" si="0"/>
        <v>1.5827793605571326E-4</v>
      </c>
    </row>
    <row r="18" spans="1:7" x14ac:dyDescent="0.3">
      <c r="A18" t="s">
        <v>40</v>
      </c>
      <c r="B18">
        <v>27</v>
      </c>
      <c r="C18">
        <v>50</v>
      </c>
      <c r="D18">
        <v>21</v>
      </c>
      <c r="E18" t="s">
        <v>34</v>
      </c>
      <c r="F18">
        <f t="shared" si="0"/>
        <v>4.0564373897707229E-2</v>
      </c>
      <c r="G18">
        <f>GEOMEAN(F18:F19)</f>
        <v>1.0115228267183135E-2</v>
      </c>
    </row>
    <row r="19" spans="1:7" x14ac:dyDescent="0.3">
      <c r="A19" t="s">
        <v>40</v>
      </c>
      <c r="B19">
        <v>49</v>
      </c>
      <c r="C19">
        <v>60</v>
      </c>
      <c r="D19">
        <v>89</v>
      </c>
      <c r="E19" t="s">
        <v>41</v>
      </c>
      <c r="F19">
        <f t="shared" si="0"/>
        <v>2.522357257509746E-3</v>
      </c>
    </row>
    <row r="20" spans="1:7" x14ac:dyDescent="0.3">
      <c r="A20" t="s">
        <v>40</v>
      </c>
      <c r="B20">
        <v>49</v>
      </c>
      <c r="C20">
        <v>60</v>
      </c>
      <c r="D20">
        <v>89</v>
      </c>
      <c r="E20" t="s">
        <v>41</v>
      </c>
      <c r="F20">
        <f t="shared" si="0"/>
        <v>2.522357257509746E-3</v>
      </c>
    </row>
    <row r="21" spans="1:7" x14ac:dyDescent="0.3">
      <c r="A21" t="s">
        <v>40</v>
      </c>
      <c r="B21">
        <v>15</v>
      </c>
      <c r="C21">
        <v>35</v>
      </c>
      <c r="D21">
        <v>13</v>
      </c>
      <c r="E21" t="s">
        <v>41</v>
      </c>
      <c r="F21">
        <f t="shared" si="0"/>
        <v>0.10256410256410257</v>
      </c>
    </row>
    <row r="22" spans="1:7" x14ac:dyDescent="0.3">
      <c r="A22" t="s">
        <v>40</v>
      </c>
      <c r="B22">
        <v>15</v>
      </c>
      <c r="C22">
        <v>35</v>
      </c>
      <c r="D22">
        <v>13</v>
      </c>
      <c r="E22" t="s">
        <v>41</v>
      </c>
      <c r="F22">
        <f t="shared" si="0"/>
        <v>0.10256410256410257</v>
      </c>
    </row>
    <row r="23" spans="1:7" x14ac:dyDescent="0.3">
      <c r="A23" t="s">
        <v>40</v>
      </c>
      <c r="B23">
        <v>40</v>
      </c>
      <c r="C23">
        <v>55</v>
      </c>
      <c r="D23">
        <v>62</v>
      </c>
      <c r="E23" t="s">
        <v>41</v>
      </c>
      <c r="F23">
        <f t="shared" si="0"/>
        <v>6.0483870967741934E-3</v>
      </c>
    </row>
    <row r="24" spans="1:7" x14ac:dyDescent="0.3">
      <c r="A24" t="s">
        <v>40</v>
      </c>
      <c r="B24">
        <v>78</v>
      </c>
      <c r="C24">
        <v>80</v>
      </c>
      <c r="D24">
        <v>162</v>
      </c>
      <c r="E24" t="s">
        <v>41</v>
      </c>
      <c r="F24">
        <f t="shared" si="0"/>
        <v>1.5827793605571326E-4</v>
      </c>
    </row>
    <row r="25" spans="1:7" x14ac:dyDescent="0.3">
      <c r="A25" t="s">
        <v>40</v>
      </c>
      <c r="B25">
        <v>49</v>
      </c>
      <c r="C25">
        <v>60</v>
      </c>
      <c r="D25">
        <v>89</v>
      </c>
      <c r="E25" t="s">
        <v>41</v>
      </c>
      <c r="F25">
        <f t="shared" si="0"/>
        <v>2.522357257509746E-3</v>
      </c>
    </row>
    <row r="26" spans="1:7" x14ac:dyDescent="0.3">
      <c r="A26" t="s">
        <v>40</v>
      </c>
      <c r="B26">
        <v>40</v>
      </c>
      <c r="C26">
        <v>55</v>
      </c>
      <c r="D26">
        <v>62</v>
      </c>
      <c r="E26" t="s">
        <v>41</v>
      </c>
      <c r="F26">
        <f t="shared" si="0"/>
        <v>6.0483870967741934E-3</v>
      </c>
    </row>
    <row r="27" spans="1:7" x14ac:dyDescent="0.3">
      <c r="A27" t="s">
        <v>40</v>
      </c>
      <c r="B27">
        <v>67</v>
      </c>
      <c r="C27">
        <v>75</v>
      </c>
      <c r="D27">
        <v>119</v>
      </c>
      <c r="E27" t="s">
        <v>41</v>
      </c>
      <c r="F27">
        <f t="shared" si="0"/>
        <v>1.0033864291985443E-3</v>
      </c>
    </row>
    <row r="28" spans="1:7" x14ac:dyDescent="0.3">
      <c r="A28" t="s">
        <v>40</v>
      </c>
      <c r="B28">
        <v>49</v>
      </c>
      <c r="C28">
        <v>60</v>
      </c>
      <c r="D28">
        <v>89</v>
      </c>
      <c r="E28" t="s">
        <v>41</v>
      </c>
      <c r="F28">
        <f t="shared" si="0"/>
        <v>2.522357257509746E-3</v>
      </c>
    </row>
    <row r="29" spans="1:7" x14ac:dyDescent="0.3">
      <c r="A29" t="s">
        <v>40</v>
      </c>
      <c r="B29">
        <v>11</v>
      </c>
      <c r="C29">
        <v>30</v>
      </c>
      <c r="D29">
        <v>7</v>
      </c>
      <c r="E29" t="s">
        <v>41</v>
      </c>
      <c r="F29">
        <f t="shared" si="0"/>
        <v>0.24675324675324672</v>
      </c>
    </row>
    <row r="30" spans="1:7" x14ac:dyDescent="0.3">
      <c r="A30" t="s">
        <v>40</v>
      </c>
      <c r="B30">
        <v>15</v>
      </c>
      <c r="C30">
        <v>35</v>
      </c>
      <c r="D30">
        <v>13</v>
      </c>
      <c r="E30" t="s">
        <v>41</v>
      </c>
      <c r="F30">
        <f t="shared" si="0"/>
        <v>0.10256410256410257</v>
      </c>
    </row>
    <row r="31" spans="1:7" x14ac:dyDescent="0.3">
      <c r="A31" t="s">
        <v>40</v>
      </c>
      <c r="B31">
        <v>27</v>
      </c>
      <c r="C31">
        <v>50</v>
      </c>
      <c r="D31">
        <v>21</v>
      </c>
      <c r="E31" t="s">
        <v>41</v>
      </c>
      <c r="F31">
        <f t="shared" si="0"/>
        <v>4.0564373897707229E-2</v>
      </c>
    </row>
    <row r="32" spans="1:7" x14ac:dyDescent="0.3">
      <c r="A32" t="s">
        <v>40</v>
      </c>
      <c r="B32">
        <v>67</v>
      </c>
      <c r="C32">
        <v>75</v>
      </c>
      <c r="D32">
        <v>119</v>
      </c>
      <c r="E32" t="s">
        <v>41</v>
      </c>
      <c r="F32">
        <f t="shared" si="0"/>
        <v>1.0033864291985443E-3</v>
      </c>
    </row>
    <row r="33" spans="1:7" x14ac:dyDescent="0.3">
      <c r="A33" t="s">
        <v>40</v>
      </c>
      <c r="B33">
        <v>49</v>
      </c>
      <c r="C33">
        <v>60</v>
      </c>
      <c r="D33">
        <v>89</v>
      </c>
      <c r="E33" t="s">
        <v>41</v>
      </c>
      <c r="F33">
        <f t="shared" si="0"/>
        <v>2.522357257509746E-3</v>
      </c>
    </row>
    <row r="34" spans="1:7" x14ac:dyDescent="0.3">
      <c r="A34" t="s">
        <v>40</v>
      </c>
      <c r="B34">
        <v>49</v>
      </c>
      <c r="C34">
        <v>60</v>
      </c>
      <c r="D34">
        <v>89</v>
      </c>
      <c r="E34" t="s">
        <v>41</v>
      </c>
      <c r="F34">
        <f t="shared" si="0"/>
        <v>2.522357257509746E-3</v>
      </c>
    </row>
    <row r="35" spans="1:7" x14ac:dyDescent="0.3">
      <c r="A35" t="s">
        <v>40</v>
      </c>
      <c r="B35">
        <v>27</v>
      </c>
      <c r="C35">
        <v>50</v>
      </c>
      <c r="D35">
        <v>21</v>
      </c>
      <c r="E35" t="s">
        <v>41</v>
      </c>
      <c r="F35">
        <f t="shared" si="0"/>
        <v>4.0564373897707229E-2</v>
      </c>
    </row>
    <row r="36" spans="1:7" x14ac:dyDescent="0.3">
      <c r="A36" t="s">
        <v>40</v>
      </c>
      <c r="B36">
        <v>15</v>
      </c>
      <c r="C36">
        <v>35</v>
      </c>
      <c r="D36">
        <v>13</v>
      </c>
      <c r="E36" t="s">
        <v>41</v>
      </c>
      <c r="F36">
        <f t="shared" si="0"/>
        <v>0.10256410256410257</v>
      </c>
    </row>
    <row r="37" spans="1:7" x14ac:dyDescent="0.3">
      <c r="A37" t="s">
        <v>40</v>
      </c>
      <c r="B37">
        <v>78</v>
      </c>
      <c r="C37">
        <v>80</v>
      </c>
      <c r="D37">
        <v>162</v>
      </c>
      <c r="E37" t="s">
        <v>41</v>
      </c>
      <c r="F37">
        <f t="shared" si="0"/>
        <v>1.5827793605571326E-4</v>
      </c>
    </row>
    <row r="38" spans="1:7" x14ac:dyDescent="0.3">
      <c r="A38" t="s">
        <v>40</v>
      </c>
      <c r="B38">
        <v>40</v>
      </c>
      <c r="C38">
        <v>55</v>
      </c>
      <c r="D38">
        <v>62</v>
      </c>
      <c r="E38" t="s">
        <v>41</v>
      </c>
      <c r="F38">
        <f t="shared" si="0"/>
        <v>6.0483870967741934E-3</v>
      </c>
    </row>
    <row r="39" spans="1:7" x14ac:dyDescent="0.3">
      <c r="A39" t="s">
        <v>40</v>
      </c>
      <c r="B39">
        <v>40</v>
      </c>
      <c r="C39">
        <v>55</v>
      </c>
      <c r="D39">
        <v>62</v>
      </c>
      <c r="E39" t="s">
        <v>41</v>
      </c>
      <c r="F39">
        <f t="shared" si="0"/>
        <v>6.0483870967741934E-3</v>
      </c>
    </row>
    <row r="40" spans="1:7" x14ac:dyDescent="0.3">
      <c r="A40" t="s">
        <v>40</v>
      </c>
      <c r="B40">
        <v>11</v>
      </c>
      <c r="C40">
        <v>30</v>
      </c>
      <c r="D40">
        <v>7</v>
      </c>
      <c r="E40" t="s">
        <v>34</v>
      </c>
      <c r="F40">
        <f t="shared" si="0"/>
        <v>0.24675324675324672</v>
      </c>
      <c r="G40">
        <f>GEOMEAN(F40:F41)</f>
        <v>0.15908496254525539</v>
      </c>
    </row>
    <row r="41" spans="1:7" x14ac:dyDescent="0.3">
      <c r="A41" t="s">
        <v>40</v>
      </c>
      <c r="B41">
        <v>15</v>
      </c>
      <c r="C41">
        <v>35</v>
      </c>
      <c r="D41">
        <v>13</v>
      </c>
      <c r="E41" t="s">
        <v>41</v>
      </c>
      <c r="F41">
        <f t="shared" si="0"/>
        <v>0.10256410256410257</v>
      </c>
    </row>
    <row r="42" spans="1:7" x14ac:dyDescent="0.3">
      <c r="A42" t="s">
        <v>40</v>
      </c>
      <c r="B42">
        <v>67</v>
      </c>
      <c r="C42">
        <v>75</v>
      </c>
      <c r="D42">
        <v>119</v>
      </c>
      <c r="E42" t="s">
        <v>41</v>
      </c>
      <c r="F42">
        <f t="shared" si="0"/>
        <v>1.0033864291985443E-3</v>
      </c>
    </row>
    <row r="43" spans="1:7" x14ac:dyDescent="0.3">
      <c r="A43" t="s">
        <v>40</v>
      </c>
      <c r="B43">
        <v>27</v>
      </c>
      <c r="C43">
        <v>50</v>
      </c>
      <c r="D43">
        <v>21</v>
      </c>
      <c r="E43" t="s">
        <v>41</v>
      </c>
      <c r="F43">
        <f t="shared" si="0"/>
        <v>4.0564373897707229E-2</v>
      </c>
    </row>
    <row r="44" spans="1:7" x14ac:dyDescent="0.3">
      <c r="A44" t="s">
        <v>40</v>
      </c>
      <c r="B44">
        <v>78</v>
      </c>
      <c r="C44">
        <v>80</v>
      </c>
      <c r="D44">
        <v>162</v>
      </c>
      <c r="E44" t="s">
        <v>41</v>
      </c>
      <c r="F44">
        <f t="shared" si="0"/>
        <v>1.5827793605571326E-4</v>
      </c>
    </row>
    <row r="45" spans="1:7" x14ac:dyDescent="0.3">
      <c r="A45" t="s">
        <v>40</v>
      </c>
      <c r="B45">
        <v>40</v>
      </c>
      <c r="C45">
        <v>55</v>
      </c>
      <c r="D45">
        <v>62</v>
      </c>
      <c r="E45" t="s">
        <v>41</v>
      </c>
      <c r="F45">
        <f t="shared" si="0"/>
        <v>6.0483870967741934E-3</v>
      </c>
    </row>
    <row r="46" spans="1:7" x14ac:dyDescent="0.3">
      <c r="A46" t="s">
        <v>40</v>
      </c>
      <c r="B46">
        <v>49</v>
      </c>
      <c r="C46">
        <v>60</v>
      </c>
      <c r="D46">
        <v>89</v>
      </c>
      <c r="E46" t="s">
        <v>41</v>
      </c>
      <c r="F46">
        <f t="shared" si="0"/>
        <v>2.522357257509746E-3</v>
      </c>
    </row>
    <row r="47" spans="1:7" x14ac:dyDescent="0.3">
      <c r="A47" t="s">
        <v>40</v>
      </c>
      <c r="B47">
        <v>15</v>
      </c>
      <c r="C47">
        <v>35</v>
      </c>
      <c r="D47">
        <v>13</v>
      </c>
      <c r="E47" t="s">
        <v>41</v>
      </c>
      <c r="F47">
        <f t="shared" si="0"/>
        <v>0.10256410256410257</v>
      </c>
    </row>
    <row r="48" spans="1:7" x14ac:dyDescent="0.3">
      <c r="A48" t="s">
        <v>40</v>
      </c>
      <c r="B48">
        <v>15</v>
      </c>
      <c r="C48">
        <v>35</v>
      </c>
      <c r="D48">
        <v>13</v>
      </c>
      <c r="E48" t="s">
        <v>41</v>
      </c>
      <c r="F48">
        <f t="shared" si="0"/>
        <v>0.10256410256410257</v>
      </c>
    </row>
    <row r="49" spans="1:6" x14ac:dyDescent="0.3">
      <c r="A49" t="s">
        <v>40</v>
      </c>
      <c r="B49">
        <v>40</v>
      </c>
      <c r="C49">
        <v>55</v>
      </c>
      <c r="D49">
        <v>62</v>
      </c>
      <c r="E49" t="s">
        <v>41</v>
      </c>
      <c r="F49">
        <f t="shared" si="0"/>
        <v>6.0483870967741934E-3</v>
      </c>
    </row>
    <row r="50" spans="1:6" x14ac:dyDescent="0.3">
      <c r="A50" t="s">
        <v>40</v>
      </c>
      <c r="B50">
        <v>49</v>
      </c>
      <c r="C50">
        <v>60</v>
      </c>
      <c r="D50">
        <v>89</v>
      </c>
      <c r="E50" t="s">
        <v>41</v>
      </c>
      <c r="F50">
        <f t="shared" si="0"/>
        <v>2.522357257509746E-3</v>
      </c>
    </row>
    <row r="51" spans="1:6" x14ac:dyDescent="0.3">
      <c r="A51" t="s">
        <v>40</v>
      </c>
      <c r="B51">
        <v>11</v>
      </c>
      <c r="C51">
        <v>30</v>
      </c>
      <c r="D51">
        <v>7</v>
      </c>
      <c r="E51" t="s">
        <v>41</v>
      </c>
      <c r="F51">
        <f t="shared" si="0"/>
        <v>0.24675324675324672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04_social delay discounting_202</vt:lpstr>
      <vt:lpstr>you</vt:lpstr>
      <vt:lpstr>friend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2025-11-19T18:06:01Z</dcterms:created>
  <dcterms:modified xsi:type="dcterms:W3CDTF">2025-11-22T15:03:31Z</dcterms:modified>
</cp:coreProperties>
</file>